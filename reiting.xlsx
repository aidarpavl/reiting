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Загрузка\"/>
    </mc:Choice>
  </mc:AlternateContent>
  <bookViews>
    <workbookView xWindow="0" yWindow="0" windowWidth="12495" windowHeight="11940" activeTab="1"/>
  </bookViews>
  <sheets>
    <sheet name="Predmet" sheetId="1" r:id="rId1"/>
    <sheet name="Kl ru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" i="2" l="1"/>
  <c r="AB4" i="2" s="1"/>
  <c r="Z4" i="2"/>
  <c r="Y40" i="2" l="1"/>
  <c r="AB40" i="2" s="1"/>
  <c r="R40" i="2"/>
  <c r="AA40" i="2" s="1"/>
  <c r="J40" i="2"/>
  <c r="AC40" i="2" s="1"/>
  <c r="Y39" i="2"/>
  <c r="AB39" i="2" s="1"/>
  <c r="R39" i="2"/>
  <c r="AA39" i="2" s="1"/>
  <c r="J39" i="2"/>
  <c r="Z39" i="2" s="1"/>
  <c r="AB38" i="2"/>
  <c r="Y38" i="2"/>
  <c r="R38" i="2"/>
  <c r="AA38" i="2" s="1"/>
  <c r="J38" i="2"/>
  <c r="Z38" i="2" s="1"/>
  <c r="AA37" i="2"/>
  <c r="Y37" i="2"/>
  <c r="AB37" i="2" s="1"/>
  <c r="R37" i="2"/>
  <c r="J37" i="2"/>
  <c r="Z37" i="2" s="1"/>
  <c r="Z36" i="2"/>
  <c r="Y36" i="2"/>
  <c r="AB36" i="2" s="1"/>
  <c r="R36" i="2"/>
  <c r="AA36" i="2" s="1"/>
  <c r="J36" i="2"/>
  <c r="AC36" i="2" s="1"/>
  <c r="Y35" i="2"/>
  <c r="AB35" i="2" s="1"/>
  <c r="R35" i="2"/>
  <c r="AA35" i="2" s="1"/>
  <c r="J35" i="2"/>
  <c r="Z35" i="2" s="1"/>
  <c r="AB34" i="2"/>
  <c r="Z34" i="2"/>
  <c r="Y34" i="2"/>
  <c r="R34" i="2"/>
  <c r="AA34" i="2" s="1"/>
  <c r="J34" i="2"/>
  <c r="AC34" i="2" s="1"/>
  <c r="AA33" i="2"/>
  <c r="Y33" i="2"/>
  <c r="AB33" i="2" s="1"/>
  <c r="R33" i="2"/>
  <c r="J33" i="2"/>
  <c r="Z33" i="2" s="1"/>
  <c r="AB32" i="2"/>
  <c r="Y32" i="2"/>
  <c r="R32" i="2"/>
  <c r="AA32" i="2" s="1"/>
  <c r="J32" i="2"/>
  <c r="AC32" i="2" s="1"/>
  <c r="Y31" i="2"/>
  <c r="AB31" i="2" s="1"/>
  <c r="R31" i="2"/>
  <c r="AA31" i="2" s="1"/>
  <c r="J31" i="2"/>
  <c r="Z31" i="2" s="1"/>
  <c r="Z30" i="2"/>
  <c r="Y30" i="2"/>
  <c r="AB30" i="2" s="1"/>
  <c r="R30" i="2"/>
  <c r="AA30" i="2" s="1"/>
  <c r="J30" i="2"/>
  <c r="Y29" i="2"/>
  <c r="AB29" i="2" s="1"/>
  <c r="R29" i="2"/>
  <c r="AA29" i="2" s="1"/>
  <c r="J29" i="2"/>
  <c r="Z29" i="2" s="1"/>
  <c r="Z28" i="2"/>
  <c r="Y28" i="2"/>
  <c r="AB28" i="2" s="1"/>
  <c r="R28" i="2"/>
  <c r="AA28" i="2" s="1"/>
  <c r="J28" i="2"/>
  <c r="AA27" i="2"/>
  <c r="Y27" i="2"/>
  <c r="AB27" i="2" s="1"/>
  <c r="R27" i="2"/>
  <c r="J27" i="2"/>
  <c r="Z27" i="2" s="1"/>
  <c r="AB26" i="2"/>
  <c r="Z26" i="2"/>
  <c r="Y26" i="2"/>
  <c r="R26" i="2"/>
  <c r="AA26" i="2" s="1"/>
  <c r="J26" i="2"/>
  <c r="AC26" i="2" s="1"/>
  <c r="AA25" i="2"/>
  <c r="Y25" i="2"/>
  <c r="AB25" i="2" s="1"/>
  <c r="R25" i="2"/>
  <c r="J25" i="2"/>
  <c r="Z25" i="2" s="1"/>
  <c r="AB24" i="2"/>
  <c r="Y24" i="2"/>
  <c r="R24" i="2"/>
  <c r="AA24" i="2" s="1"/>
  <c r="J24" i="2"/>
  <c r="AC24" i="2" s="1"/>
  <c r="Y23" i="2"/>
  <c r="AB23" i="2" s="1"/>
  <c r="R23" i="2"/>
  <c r="AA23" i="2" s="1"/>
  <c r="J23" i="2"/>
  <c r="Z23" i="2" s="1"/>
  <c r="Y22" i="2"/>
  <c r="AB22" i="2" s="1"/>
  <c r="R22" i="2"/>
  <c r="AA22" i="2" s="1"/>
  <c r="J22" i="2"/>
  <c r="Z22" i="2" s="1"/>
  <c r="Y21" i="2"/>
  <c r="AB21" i="2" s="1"/>
  <c r="R21" i="2"/>
  <c r="AA21" i="2" s="1"/>
  <c r="J21" i="2"/>
  <c r="Z21" i="2" s="1"/>
  <c r="Z20" i="2"/>
  <c r="Y20" i="2"/>
  <c r="AB20" i="2" s="1"/>
  <c r="R20" i="2"/>
  <c r="AA20" i="2" s="1"/>
  <c r="J20" i="2"/>
  <c r="AA19" i="2"/>
  <c r="Y19" i="2"/>
  <c r="AB19" i="2" s="1"/>
  <c r="R19" i="2"/>
  <c r="J19" i="2"/>
  <c r="Z19" i="2" s="1"/>
  <c r="AB18" i="2"/>
  <c r="Z18" i="2"/>
  <c r="Y18" i="2"/>
  <c r="R18" i="2"/>
  <c r="AA18" i="2" s="1"/>
  <c r="J18" i="2"/>
  <c r="AC18" i="2" s="1"/>
  <c r="AA17" i="2"/>
  <c r="Y17" i="2"/>
  <c r="AB17" i="2" s="1"/>
  <c r="R17" i="2"/>
  <c r="J17" i="2"/>
  <c r="Z17" i="2" s="1"/>
  <c r="AC20" i="2" l="1"/>
  <c r="AC28" i="2"/>
  <c r="AC22" i="2"/>
  <c r="Z24" i="2"/>
  <c r="AC30" i="2"/>
  <c r="Z32" i="2"/>
  <c r="Z40" i="2"/>
  <c r="AC23" i="2"/>
  <c r="AC31" i="2"/>
  <c r="AC39" i="2"/>
  <c r="AC38" i="2"/>
  <c r="AC27" i="2"/>
  <c r="AC21" i="2"/>
  <c r="AC25" i="2"/>
  <c r="AC29" i="2"/>
  <c r="AC33" i="2"/>
  <c r="AC37" i="2"/>
  <c r="AC19" i="2"/>
  <c r="AC35" i="2"/>
  <c r="AC17" i="2"/>
  <c r="R16" i="2"/>
  <c r="AA16" i="2" s="1"/>
  <c r="R15" i="2"/>
  <c r="R14" i="2"/>
  <c r="AA14" i="2" s="1"/>
  <c r="R13" i="2"/>
  <c r="AA13" i="2" s="1"/>
  <c r="R12" i="2"/>
  <c r="R11" i="2"/>
  <c r="R10" i="2"/>
  <c r="R9" i="2"/>
  <c r="AA9" i="2" s="1"/>
  <c r="R8" i="2"/>
  <c r="AA8" i="2" s="1"/>
  <c r="R7" i="2"/>
  <c r="R6" i="2"/>
  <c r="AA6" i="2" s="1"/>
  <c r="R5" i="2"/>
  <c r="AA5" i="2" s="1"/>
  <c r="R4" i="2"/>
  <c r="AA4" i="2" s="1"/>
  <c r="J16" i="2"/>
  <c r="J15" i="2"/>
  <c r="J14" i="2"/>
  <c r="J13" i="2"/>
  <c r="AC13" i="2" s="1"/>
  <c r="J12" i="2"/>
  <c r="J11" i="2"/>
  <c r="J10" i="2"/>
  <c r="J9" i="2"/>
  <c r="Z9" i="2" s="1"/>
  <c r="J8" i="2"/>
  <c r="J7" i="2"/>
  <c r="J6" i="2"/>
  <c r="J5" i="2"/>
  <c r="Z5" i="2" s="1"/>
  <c r="J4" i="2"/>
  <c r="Y16" i="2"/>
  <c r="AB16" i="2" s="1"/>
  <c r="Y15" i="2"/>
  <c r="AB15" i="2" s="1"/>
  <c r="AA15" i="2"/>
  <c r="Y14" i="2"/>
  <c r="AB14" i="2" s="1"/>
  <c r="Y13" i="2"/>
  <c r="AB13" i="2" s="1"/>
  <c r="Y12" i="2"/>
  <c r="AB12" i="2" s="1"/>
  <c r="AA12" i="2"/>
  <c r="Y11" i="2"/>
  <c r="AB11" i="2" s="1"/>
  <c r="AA11" i="2"/>
  <c r="Y10" i="2"/>
  <c r="AB10" i="2" s="1"/>
  <c r="AA10" i="2"/>
  <c r="Y9" i="2"/>
  <c r="AB9" i="2" s="1"/>
  <c r="Y8" i="2"/>
  <c r="AB8" i="2" s="1"/>
  <c r="Y7" i="2"/>
  <c r="AB7" i="2" s="1"/>
  <c r="AA7" i="2"/>
  <c r="Y6" i="2"/>
  <c r="AB6" i="2" s="1"/>
  <c r="Z6" i="2"/>
  <c r="Y5" i="2"/>
  <c r="AB5" i="2" s="1"/>
  <c r="Z17" i="1"/>
  <c r="AD17" i="1" s="1"/>
  <c r="S17" i="1"/>
  <c r="AC17" i="1" s="1"/>
  <c r="L17" i="1"/>
  <c r="AB17" i="1" s="1"/>
  <c r="G17" i="1"/>
  <c r="Z16" i="1"/>
  <c r="AD16" i="1" s="1"/>
  <c r="S16" i="1"/>
  <c r="AC16" i="1" s="1"/>
  <c r="L16" i="1"/>
  <c r="AB16" i="1" s="1"/>
  <c r="G16" i="1"/>
  <c r="Z15" i="1"/>
  <c r="AD15" i="1" s="1"/>
  <c r="S15" i="1"/>
  <c r="AC15" i="1" s="1"/>
  <c r="L15" i="1"/>
  <c r="AB15" i="1" s="1"/>
  <c r="G15" i="1"/>
  <c r="Z14" i="1"/>
  <c r="AD14" i="1" s="1"/>
  <c r="S14" i="1"/>
  <c r="AC14" i="1" s="1"/>
  <c r="L14" i="1"/>
  <c r="AB14" i="1" s="1"/>
  <c r="G14" i="1"/>
  <c r="Z13" i="1"/>
  <c r="AD13" i="1" s="1"/>
  <c r="S13" i="1"/>
  <c r="AC13" i="1" s="1"/>
  <c r="L13" i="1"/>
  <c r="AB13" i="1" s="1"/>
  <c r="G13" i="1"/>
  <c r="Z12" i="1"/>
  <c r="AD12" i="1" s="1"/>
  <c r="S12" i="1"/>
  <c r="AC12" i="1" s="1"/>
  <c r="L12" i="1"/>
  <c r="AB12" i="1" s="1"/>
  <c r="G12" i="1"/>
  <c r="Z11" i="1"/>
  <c r="AD11" i="1" s="1"/>
  <c r="S11" i="1"/>
  <c r="AC11" i="1" s="1"/>
  <c r="L11" i="1"/>
  <c r="AB11" i="1" s="1"/>
  <c r="G11" i="1"/>
  <c r="Z10" i="1"/>
  <c r="AD10" i="1" s="1"/>
  <c r="S10" i="1"/>
  <c r="AC10" i="1" s="1"/>
  <c r="L10" i="1"/>
  <c r="AB10" i="1" s="1"/>
  <c r="G10" i="1"/>
  <c r="Z9" i="1"/>
  <c r="AD9" i="1" s="1"/>
  <c r="S9" i="1"/>
  <c r="AC9" i="1" s="1"/>
  <c r="L9" i="1"/>
  <c r="AB9" i="1" s="1"/>
  <c r="G9" i="1"/>
  <c r="Z8" i="1"/>
  <c r="AD8" i="1" s="1"/>
  <c r="S8" i="1"/>
  <c r="AC8" i="1" s="1"/>
  <c r="L8" i="1"/>
  <c r="AB8" i="1" s="1"/>
  <c r="G8" i="1"/>
  <c r="Z7" i="1"/>
  <c r="AD7" i="1" s="1"/>
  <c r="S7" i="1"/>
  <c r="AC7" i="1" s="1"/>
  <c r="L7" i="1"/>
  <c r="AB7" i="1" s="1"/>
  <c r="G7" i="1"/>
  <c r="Z6" i="1"/>
  <c r="AD6" i="1" s="1"/>
  <c r="S6" i="1"/>
  <c r="AC6" i="1" s="1"/>
  <c r="L6" i="1"/>
  <c r="AB6" i="1" s="1"/>
  <c r="G6" i="1"/>
  <c r="Z5" i="1"/>
  <c r="AD5" i="1" s="1"/>
  <c r="S5" i="1"/>
  <c r="AC5" i="1" s="1"/>
  <c r="L5" i="1"/>
  <c r="AB5" i="1" s="1"/>
  <c r="G5" i="1"/>
  <c r="AA5" i="1" s="1"/>
  <c r="AC6" i="2" l="1"/>
  <c r="AC10" i="2"/>
  <c r="AC14" i="2"/>
  <c r="AC7" i="2"/>
  <c r="AC11" i="2"/>
  <c r="AC15" i="2"/>
  <c r="AC4" i="2"/>
  <c r="AC8" i="2"/>
  <c r="AC12" i="2"/>
  <c r="AC16" i="2"/>
  <c r="AC5" i="2"/>
  <c r="AC9" i="2"/>
  <c r="Z7" i="2"/>
  <c r="Z11" i="2"/>
  <c r="Z15" i="2"/>
  <c r="Z13" i="2"/>
  <c r="Z10" i="2"/>
  <c r="Z14" i="2"/>
  <c r="Z8" i="2"/>
  <c r="Z12" i="2"/>
  <c r="Z16" i="2"/>
  <c r="AE10" i="1"/>
  <c r="AE11" i="1"/>
  <c r="AE12" i="1"/>
  <c r="AE13" i="1"/>
  <c r="AE14" i="1"/>
  <c r="AE15" i="1"/>
  <c r="AE16" i="1"/>
  <c r="AE17" i="1"/>
  <c r="AE6" i="1"/>
  <c r="AE8" i="1"/>
  <c r="AE9" i="1"/>
  <c r="AE7" i="1"/>
  <c r="AA6" i="1"/>
  <c r="AA10" i="1"/>
  <c r="AA14" i="1"/>
  <c r="AA7" i="1"/>
  <c r="AA11" i="1"/>
  <c r="AA15" i="1"/>
  <c r="AA8" i="1"/>
  <c r="AA12" i="1"/>
  <c r="AA16" i="1"/>
  <c r="AA9" i="1"/>
  <c r="AA13" i="1"/>
  <c r="AA17" i="1"/>
  <c r="AE5" i="1"/>
</calcChain>
</file>

<file path=xl/sharedStrings.xml><?xml version="1.0" encoding="utf-8"?>
<sst xmlns="http://schemas.openxmlformats.org/spreadsheetml/2006/main" count="167" uniqueCount="114">
  <si>
    <t>Школа</t>
  </si>
  <si>
    <t>ФИО</t>
  </si>
  <si>
    <t>№</t>
  </si>
  <si>
    <t>Коэфициент сложности предмета</t>
  </si>
  <si>
    <t>Предмет</t>
  </si>
  <si>
    <t>Математика</t>
  </si>
  <si>
    <t>Результативность по предмету</t>
  </si>
  <si>
    <t>Средний балл по предмету по всем классам учителя</t>
  </si>
  <si>
    <t>количество итоговых троек</t>
  </si>
  <si>
    <t>Итог</t>
  </si>
  <si>
    <t>Внекласная работа по предмету</t>
  </si>
  <si>
    <t>Оценка за призовые места учащихся на школьных олимпиадах, конкурсах и т.п.(1-2балл,2-1б, 3место-0,5б)</t>
  </si>
  <si>
    <t>Оценка за призовые места учащихся на районных (3 балла), городских (4 балла), областных (5 баллов)</t>
  </si>
  <si>
    <t>Оценка за проведение учителем предметных конкурсов(1-2балл)</t>
  </si>
  <si>
    <t>Оценка за проведение учителем внеклассного мероприятия(1-3баллов)</t>
  </si>
  <si>
    <t>Итог Внекласная работа</t>
  </si>
  <si>
    <t>Методическая деятельность</t>
  </si>
  <si>
    <t>Участие в конкурсах</t>
  </si>
  <si>
    <t>За разработку методических материалов с рецензией Өрлеу(до 5 баллов)</t>
  </si>
  <si>
    <t>Выступлений на педсоветах, семинарах и т.п. (до 4 баллов)</t>
  </si>
  <si>
    <t>За материала на методической выставке (до 3 баллов)</t>
  </si>
  <si>
    <t xml:space="preserve">Обобщение опыта по инициативе учителя (до 3 баллов) </t>
  </si>
  <si>
    <t>За опубликованные методические материалы (до 3 баллов)</t>
  </si>
  <si>
    <t>Итог методической деятельности</t>
  </si>
  <si>
    <t>Рейтинг учителя у администрации</t>
  </si>
  <si>
    <t xml:space="preserve">Оформление документации </t>
  </si>
  <si>
    <t>Членстов жюри, международых конференции выступил</t>
  </si>
  <si>
    <t>НОУ (1место-4б, 2место-3б, 3место-2балл, подготовка-1 балл)</t>
  </si>
  <si>
    <t>PISA, ОРМ, ЕНТ, доп.занятия</t>
  </si>
  <si>
    <t>Итог у администрации</t>
  </si>
  <si>
    <t>KIO (за участие-1б, 1-место 4б, 2 место-3б, 3 место-2б</t>
  </si>
  <si>
    <t>Кунделік. Ведение.</t>
  </si>
  <si>
    <t>Общий итог</t>
  </si>
  <si>
    <t>АЗЫМБАЕВА</t>
  </si>
  <si>
    <t>АЙТБАЙ</t>
  </si>
  <si>
    <t>АЛЬМЕНОВА</t>
  </si>
  <si>
    <t>АЛЬНАЗИРОВА</t>
  </si>
  <si>
    <t>АРЫНГАЗИНА</t>
  </si>
  <si>
    <t>АХШАЛОВА</t>
  </si>
  <si>
    <t>ИЛЬЯСОВА</t>
  </si>
  <si>
    <t>ИТЕМГЕНОВ</t>
  </si>
  <si>
    <t>КАБЫЛОВА</t>
  </si>
  <si>
    <t>КАЗАНГАПОВ</t>
  </si>
  <si>
    <t>КАЙДАРОВА</t>
  </si>
  <si>
    <t>КОЖАГЕЛЬДИНОВА</t>
  </si>
  <si>
    <t>МОМЫНОВ</t>
  </si>
  <si>
    <t>Химия</t>
  </si>
  <si>
    <t>Русский язык</t>
  </si>
  <si>
    <t>Каз яз</t>
  </si>
  <si>
    <t>Ин яз</t>
  </si>
  <si>
    <t>история</t>
  </si>
  <si>
    <t>География</t>
  </si>
  <si>
    <t>Информатика</t>
  </si>
  <si>
    <t>Жас Дарын</t>
  </si>
  <si>
    <t>Рейтинг учителя у администрации (1-5 балл)</t>
  </si>
  <si>
    <t>Итог у администраций</t>
  </si>
  <si>
    <t>Жанғазы Гүлнар Садыққызы</t>
  </si>
  <si>
    <t>Альменова Жулдыз Кантаевна</t>
  </si>
  <si>
    <t>Асаинова Жулдуз Сериковна</t>
  </si>
  <si>
    <t>Кайдарова Лаура Сартаевна</t>
  </si>
  <si>
    <t>Шаймерденова Алия Турсуновна</t>
  </si>
  <si>
    <t>Шайхимов Айдар Абылаевич</t>
  </si>
  <si>
    <t>Айтбай Самал Темірғалықызы</t>
  </si>
  <si>
    <t>Адамов Ильяс Булатович</t>
  </si>
  <si>
    <t>Азымбаева Қымбат Жексенғазықызы</t>
  </si>
  <si>
    <t>Альназирова Диана Каиркелдиевна</t>
  </si>
  <si>
    <t>Арынгазина Асель Муратовна</t>
  </si>
  <si>
    <t>Аханбаева Сандугуль Ермуратовна</t>
  </si>
  <si>
    <t>Ахшалова Данира Каскирбековна</t>
  </si>
  <si>
    <t>Баянова Самал Еркиновна</t>
  </si>
  <si>
    <t>Базарбай Төлеш Төлегенқызы</t>
  </si>
  <si>
    <t>Даулбаева Камила Муратовна</t>
  </si>
  <si>
    <t>Ескендирова Майса Тусуповна</t>
  </si>
  <si>
    <t>Физкультура</t>
  </si>
  <si>
    <t>Жұмали Мизан</t>
  </si>
  <si>
    <t>Музыка</t>
  </si>
  <si>
    <t>Ильясова Гульмира Раушановна</t>
  </si>
  <si>
    <t>Исабаева Зарина Нурлановна</t>
  </si>
  <si>
    <t>История</t>
  </si>
  <si>
    <t>Итемгенов Бахытбек Упышович</t>
  </si>
  <si>
    <t>Кабылова Айслу Мажитовна</t>
  </si>
  <si>
    <t>Кожагельдинова Гульназы Нигиметовна</t>
  </si>
  <si>
    <t>Куставлетова Айгуль Баяновна</t>
  </si>
  <si>
    <t>Қалым Гульжазира Муратбековна</t>
  </si>
  <si>
    <t>Момынов Куат Мырзатаевич</t>
  </si>
  <si>
    <t>Нурдильдина Роза Рыскалиевна</t>
  </si>
  <si>
    <t>Физика</t>
  </si>
  <si>
    <t>Омарова Кымбат Ораловна</t>
  </si>
  <si>
    <t>Омарова АсельУалденовна</t>
  </si>
  <si>
    <t>Всемирная к.</t>
  </si>
  <si>
    <t>Серикхан Жанал</t>
  </si>
  <si>
    <t>Сыпатаев Ермурат Валерьевич</t>
  </si>
  <si>
    <t>Сырттанова Айнаш Тохтархановна</t>
  </si>
  <si>
    <t>Текенов Арыстан Анатольевич</t>
  </si>
  <si>
    <t>Темірғалы Қызғалдақ Медіғатқызы</t>
  </si>
  <si>
    <t>Психолог</t>
  </si>
  <si>
    <t>Тологони Канипа</t>
  </si>
  <si>
    <t>Труды</t>
  </si>
  <si>
    <t>Тұрғанбай Әсел Оразбекқызы</t>
  </si>
  <si>
    <t>Биология</t>
  </si>
  <si>
    <t>Шайхимова Айым Муратовна</t>
  </si>
  <si>
    <t>Онлайн олимпиады (за участие-1б, 1-место 4б, 2 место-3б, 3 место-2б</t>
  </si>
  <si>
    <t xml:space="preserve">Оценка за призовые места учащихся за участие на 1. областных Места: (1место-4б, 2место-3б, 3место-2балл, участие-1 балл) </t>
  </si>
  <si>
    <t>Республиканских Места: (1место-5б, 2место-4б, 3место-3балл, участие-2 балл) 3. Международных Места: (1место-6б, 2место-5б, 3место-4балл, участие-2 балл)</t>
  </si>
  <si>
    <t>Bilim class Ведение. (-5 до +5)</t>
  </si>
  <si>
    <t>Участие в конкурсах и олимпиад: Обл(1-3б), Респ(2-4б), Межд(4-6б)</t>
  </si>
  <si>
    <t>За разработку методических материалов с рецензией приказ ИЦРОВ(обл-3б, Респ-5 б)</t>
  </si>
  <si>
    <t>Выступлений на педсоветах, семинарах и т.п. (Шк-1б, Обл-2б, Респ-3б)</t>
  </si>
  <si>
    <t>Обобщение опыта по инициативе учителя (Школа-1б,Обл-2б, Респ-3 балла)</t>
  </si>
  <si>
    <t>За исследовательскую работу, за инновации (до 3 баллов)</t>
  </si>
  <si>
    <t>За  внедрение ИИ на уроки и внекласные мероприятие (до 3 баллов)</t>
  </si>
  <si>
    <t>Работа с одаренными детьми</t>
  </si>
  <si>
    <t>Волонтерство. Общественные работы</t>
  </si>
  <si>
    <t>Завуч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</si>
</sst>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Protection="1">
      <protection locked="0"/>
    </xf>
    <xf numFmtId="0" fontId="0" fillId="4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0" fillId="3" borderId="1" xfId="0" applyFill="1" applyBorder="1" applyProtection="1">
      <protection hidden="1"/>
    </xf>
    <xf numFmtId="0" fontId="1" fillId="6" borderId="1" xfId="0" applyFont="1" applyFill="1" applyBorder="1" applyProtection="1">
      <protection hidden="1"/>
    </xf>
    <xf numFmtId="0" fontId="4" fillId="0" borderId="2" xfId="0" applyFont="1" applyBorder="1" applyAlignment="1"/>
    <xf numFmtId="0" fontId="5" fillId="0" borderId="2" xfId="0" applyFont="1" applyBorder="1" applyAlignment="1"/>
    <xf numFmtId="0" fontId="4" fillId="7" borderId="2" xfId="0" applyFont="1" applyFill="1" applyBorder="1" applyAlignment="1"/>
    <xf numFmtId="0" fontId="4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vertical="top"/>
    </xf>
    <xf numFmtId="0" fontId="4" fillId="7" borderId="2" xfId="0" applyFont="1" applyFill="1" applyBorder="1" applyAlignment="1">
      <alignment horizontal="center"/>
    </xf>
    <xf numFmtId="0" fontId="5" fillId="0" borderId="0" xfId="0" applyFont="1" applyAlignment="1"/>
    <xf numFmtId="0" fontId="5" fillId="8" borderId="2" xfId="0" applyFont="1" applyFill="1" applyBorder="1" applyAlignment="1">
      <alignment horizontal="right"/>
    </xf>
    <xf numFmtId="0" fontId="5" fillId="8" borderId="0" xfId="0" applyFont="1" applyFill="1" applyAlignment="1">
      <alignment horizontal="right"/>
    </xf>
    <xf numFmtId="0" fontId="0" fillId="0" borderId="0" xfId="0" applyBorder="1"/>
    <xf numFmtId="0" fontId="0" fillId="0" borderId="0" xfId="0" applyBorder="1" applyAlignment="1">
      <alignment wrapText="1"/>
    </xf>
    <xf numFmtId="0" fontId="7" fillId="5" borderId="3" xfId="0" applyFont="1" applyFill="1" applyBorder="1" applyAlignment="1">
      <alignment vertical="top" wrapText="1"/>
    </xf>
    <xf numFmtId="0" fontId="7" fillId="5" borderId="4" xfId="0" applyFont="1" applyFill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2" borderId="3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opLeftCell="Q1" workbookViewId="0">
      <selection activeCell="T4" sqref="T4:X4"/>
    </sheetView>
  </sheetViews>
  <sheetFormatPr defaultRowHeight="15" x14ac:dyDescent="0.25"/>
  <cols>
    <col min="1" max="1" width="3.42578125" customWidth="1"/>
    <col min="2" max="3" width="19.28515625" customWidth="1"/>
    <col min="4" max="4" width="11.7109375" customWidth="1"/>
    <col min="6" max="6" width="11.140625" customWidth="1"/>
    <col min="8" max="8" width="13.85546875" customWidth="1"/>
    <col min="9" max="9" width="17.28515625" customWidth="1"/>
    <col min="10" max="10" width="13.28515625" customWidth="1"/>
    <col min="11" max="11" width="11.140625" customWidth="1"/>
    <col min="31" max="31" width="9.140625" style="3"/>
  </cols>
  <sheetData>
    <row r="1" spans="1:32" x14ac:dyDescent="0.25">
      <c r="B1" t="s">
        <v>0</v>
      </c>
      <c r="C1" t="s">
        <v>53</v>
      </c>
    </row>
    <row r="3" spans="1:32" ht="41.25" customHeight="1" x14ac:dyDescent="0.25">
      <c r="A3" s="4" t="s">
        <v>2</v>
      </c>
      <c r="B3" s="4" t="s">
        <v>1</v>
      </c>
      <c r="C3" s="4" t="s">
        <v>4</v>
      </c>
      <c r="D3" s="5" t="s">
        <v>3</v>
      </c>
      <c r="E3" s="32" t="s">
        <v>6</v>
      </c>
      <c r="F3" s="32"/>
      <c r="G3" s="32"/>
      <c r="H3" s="32" t="s">
        <v>10</v>
      </c>
      <c r="I3" s="32"/>
      <c r="J3" s="32"/>
      <c r="K3" s="32"/>
      <c r="L3" s="32"/>
      <c r="M3" s="32" t="s">
        <v>16</v>
      </c>
      <c r="N3" s="32"/>
      <c r="O3" s="32"/>
      <c r="P3" s="32"/>
      <c r="Q3" s="32"/>
      <c r="R3" s="32"/>
      <c r="S3" s="32"/>
      <c r="T3" s="32" t="s">
        <v>24</v>
      </c>
      <c r="U3" s="32"/>
      <c r="V3" s="32"/>
      <c r="W3" s="32"/>
      <c r="X3" s="32"/>
      <c r="Y3" s="32"/>
      <c r="Z3" s="32"/>
      <c r="AA3" s="32" t="s">
        <v>32</v>
      </c>
      <c r="AB3" s="32"/>
      <c r="AC3" s="32"/>
      <c r="AD3" s="32"/>
      <c r="AE3" s="32"/>
    </row>
    <row r="4" spans="1:32" s="1" customFormat="1" ht="111" customHeight="1" x14ac:dyDescent="0.2">
      <c r="A4" s="6"/>
      <c r="B4" s="6"/>
      <c r="C4" s="6"/>
      <c r="D4" s="7"/>
      <c r="E4" s="7" t="s">
        <v>7</v>
      </c>
      <c r="F4" s="7" t="s">
        <v>8</v>
      </c>
      <c r="G4" s="7" t="s">
        <v>9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30</v>
      </c>
      <c r="Y4" s="7" t="s">
        <v>31</v>
      </c>
      <c r="Z4" s="7" t="s">
        <v>29</v>
      </c>
      <c r="AA4" s="7" t="s">
        <v>6</v>
      </c>
      <c r="AB4" s="7" t="s">
        <v>10</v>
      </c>
      <c r="AC4" s="7" t="s">
        <v>16</v>
      </c>
      <c r="AD4" s="7" t="s">
        <v>24</v>
      </c>
      <c r="AE4" s="8" t="s">
        <v>32</v>
      </c>
      <c r="AF4" s="2"/>
    </row>
    <row r="5" spans="1:32" x14ac:dyDescent="0.25">
      <c r="A5" s="9"/>
      <c r="B5" t="s">
        <v>38</v>
      </c>
      <c r="C5" s="9" t="s">
        <v>5</v>
      </c>
      <c r="D5" s="9">
        <v>1.1000000000000001</v>
      </c>
      <c r="E5" s="9">
        <v>4.3</v>
      </c>
      <c r="F5" s="9">
        <v>11</v>
      </c>
      <c r="G5" s="10">
        <f>SUM(E5-D5-F5)</f>
        <v>-7.8000000000000007</v>
      </c>
      <c r="H5" s="9"/>
      <c r="I5" s="9"/>
      <c r="J5" s="9"/>
      <c r="K5" s="9"/>
      <c r="L5" s="11">
        <f>SUM(H5+I5+J5+K5)</f>
        <v>0</v>
      </c>
      <c r="M5" s="9"/>
      <c r="N5" s="9"/>
      <c r="O5" s="9"/>
      <c r="P5" s="9"/>
      <c r="Q5" s="9"/>
      <c r="R5" s="9"/>
      <c r="S5" s="12">
        <f>SUM(M5+N5+O5+P5+Q5+R5)</f>
        <v>0</v>
      </c>
      <c r="T5" s="9"/>
      <c r="U5" s="9"/>
      <c r="V5" s="9"/>
      <c r="W5" s="9"/>
      <c r="X5" s="9"/>
      <c r="Y5" s="9">
        <v>-6</v>
      </c>
      <c r="Z5" s="13">
        <f>SUM(T5+U5+V5+W5+X5+Y5)</f>
        <v>-6</v>
      </c>
      <c r="AA5" s="10">
        <f>SUM(G5)</f>
        <v>-7.8000000000000007</v>
      </c>
      <c r="AB5" s="11">
        <f>SUM(L5)</f>
        <v>0</v>
      </c>
      <c r="AC5" s="12">
        <f>SUM(S5)</f>
        <v>0</v>
      </c>
      <c r="AD5" s="13">
        <f>SUM(Z5)</f>
        <v>-6</v>
      </c>
      <c r="AE5" s="14">
        <f>SUM(G5+L5+S5+Z5)</f>
        <v>-13.8</v>
      </c>
    </row>
    <row r="6" spans="1:32" x14ac:dyDescent="0.25">
      <c r="A6" s="9"/>
      <c r="B6" t="s">
        <v>33</v>
      </c>
      <c r="C6" s="9" t="s">
        <v>46</v>
      </c>
      <c r="D6" s="9">
        <v>1</v>
      </c>
      <c r="E6" s="9">
        <v>4.5</v>
      </c>
      <c r="F6" s="9">
        <v>8</v>
      </c>
      <c r="G6" s="10">
        <f t="shared" ref="G6:G17" si="0">SUM(E6-D6-F6)</f>
        <v>-4.5</v>
      </c>
      <c r="H6" s="9"/>
      <c r="I6" s="9"/>
      <c r="J6" s="9"/>
      <c r="K6" s="9"/>
      <c r="L6" s="11">
        <f t="shared" ref="L6:L17" si="1">SUM(H6+I6+J6+K6)</f>
        <v>0</v>
      </c>
      <c r="M6" s="9"/>
      <c r="N6" s="9"/>
      <c r="O6" s="9"/>
      <c r="P6" s="9"/>
      <c r="Q6" s="9"/>
      <c r="R6" s="9"/>
      <c r="S6" s="12">
        <f t="shared" ref="S6:S17" si="2">SUM(M6+N6+O6+P6+Q6+R6)</f>
        <v>0</v>
      </c>
      <c r="T6" s="9"/>
      <c r="U6" s="9"/>
      <c r="V6" s="9"/>
      <c r="W6" s="9"/>
      <c r="X6" s="9"/>
      <c r="Y6" s="9">
        <v>-6</v>
      </c>
      <c r="Z6" s="13">
        <f t="shared" ref="Z6:Z17" si="3">SUM(T6+U6+V6+W6+X6+Y6)</f>
        <v>-6</v>
      </c>
      <c r="AA6" s="10">
        <f t="shared" ref="AA6:AA17" si="4">SUM(G6)</f>
        <v>-4.5</v>
      </c>
      <c r="AB6" s="11">
        <f t="shared" ref="AB6:AB17" si="5">SUM(L6)</f>
        <v>0</v>
      </c>
      <c r="AC6" s="12">
        <f t="shared" ref="AC6:AC17" si="6">SUM(S6)</f>
        <v>0</v>
      </c>
      <c r="AD6" s="13">
        <f t="shared" ref="AD6:AD17" si="7">SUM(Z6)</f>
        <v>-6</v>
      </c>
      <c r="AE6" s="14">
        <f t="shared" ref="AE6:AE17" si="8">SUM(G6+L6+S6+Z6)</f>
        <v>-10.5</v>
      </c>
    </row>
    <row r="7" spans="1:32" x14ac:dyDescent="0.25">
      <c r="A7" s="9"/>
      <c r="B7" t="s">
        <v>34</v>
      </c>
      <c r="C7" s="9" t="s">
        <v>5</v>
      </c>
      <c r="D7" s="9">
        <v>1.1000000000000001</v>
      </c>
      <c r="E7" s="9">
        <v>4.7</v>
      </c>
      <c r="F7" s="9">
        <v>9</v>
      </c>
      <c r="G7" s="10">
        <f t="shared" si="0"/>
        <v>-5.4</v>
      </c>
      <c r="H7" s="9"/>
      <c r="I7" s="9"/>
      <c r="J7" s="9"/>
      <c r="K7" s="9"/>
      <c r="L7" s="11">
        <f t="shared" si="1"/>
        <v>0</v>
      </c>
      <c r="M7" s="9"/>
      <c r="N7" s="9"/>
      <c r="O7" s="9"/>
      <c r="P7" s="9"/>
      <c r="Q7" s="9"/>
      <c r="R7" s="9"/>
      <c r="S7" s="12">
        <f t="shared" si="2"/>
        <v>0</v>
      </c>
      <c r="T7" s="9"/>
      <c r="U7" s="9"/>
      <c r="V7" s="9"/>
      <c r="W7" s="9"/>
      <c r="X7" s="9"/>
      <c r="Y7" s="9">
        <v>-6</v>
      </c>
      <c r="Z7" s="13">
        <f t="shared" si="3"/>
        <v>-6</v>
      </c>
      <c r="AA7" s="10">
        <f t="shared" si="4"/>
        <v>-5.4</v>
      </c>
      <c r="AB7" s="11">
        <f t="shared" si="5"/>
        <v>0</v>
      </c>
      <c r="AC7" s="12">
        <f t="shared" si="6"/>
        <v>0</v>
      </c>
      <c r="AD7" s="13">
        <f t="shared" si="7"/>
        <v>-6</v>
      </c>
      <c r="AE7" s="14">
        <f t="shared" si="8"/>
        <v>-11.4</v>
      </c>
    </row>
    <row r="8" spans="1:32" x14ac:dyDescent="0.25">
      <c r="A8" s="9"/>
      <c r="B8" t="s">
        <v>35</v>
      </c>
      <c r="C8" s="9" t="s">
        <v>47</v>
      </c>
      <c r="D8" s="9">
        <v>0.9</v>
      </c>
      <c r="E8" s="9">
        <v>4.8</v>
      </c>
      <c r="F8" s="9">
        <v>5</v>
      </c>
      <c r="G8" s="10">
        <f t="shared" si="0"/>
        <v>-1.1000000000000001</v>
      </c>
      <c r="H8" s="9"/>
      <c r="I8" s="9"/>
      <c r="J8" s="9"/>
      <c r="K8" s="9"/>
      <c r="L8" s="11">
        <f t="shared" si="1"/>
        <v>0</v>
      </c>
      <c r="M8" s="9"/>
      <c r="N8" s="9"/>
      <c r="O8" s="9"/>
      <c r="P8" s="9"/>
      <c r="Q8" s="9"/>
      <c r="R8" s="9"/>
      <c r="S8" s="12">
        <f t="shared" si="2"/>
        <v>0</v>
      </c>
      <c r="T8" s="9"/>
      <c r="U8" s="9"/>
      <c r="V8" s="9"/>
      <c r="W8" s="9"/>
      <c r="X8" s="9"/>
      <c r="Y8" s="9">
        <v>-6</v>
      </c>
      <c r="Z8" s="13">
        <f t="shared" si="3"/>
        <v>-6</v>
      </c>
      <c r="AA8" s="10">
        <f t="shared" si="4"/>
        <v>-1.1000000000000001</v>
      </c>
      <c r="AB8" s="11">
        <f t="shared" si="5"/>
        <v>0</v>
      </c>
      <c r="AC8" s="12">
        <f t="shared" si="6"/>
        <v>0</v>
      </c>
      <c r="AD8" s="13">
        <f t="shared" si="7"/>
        <v>-6</v>
      </c>
      <c r="AE8" s="14">
        <f t="shared" si="8"/>
        <v>-7.1</v>
      </c>
    </row>
    <row r="9" spans="1:32" x14ac:dyDescent="0.25">
      <c r="A9" s="9"/>
      <c r="B9" t="s">
        <v>36</v>
      </c>
      <c r="C9" s="9" t="s">
        <v>49</v>
      </c>
      <c r="D9" s="9">
        <v>1.1000000000000001</v>
      </c>
      <c r="E9" s="9">
        <v>4.7</v>
      </c>
      <c r="F9" s="9">
        <v>3</v>
      </c>
      <c r="G9" s="10">
        <f t="shared" si="0"/>
        <v>0.60000000000000009</v>
      </c>
      <c r="H9" s="9"/>
      <c r="I9" s="9"/>
      <c r="J9" s="9"/>
      <c r="K9" s="9"/>
      <c r="L9" s="11">
        <f t="shared" si="1"/>
        <v>0</v>
      </c>
      <c r="M9" s="9"/>
      <c r="N9" s="9"/>
      <c r="O9" s="9"/>
      <c r="P9" s="9"/>
      <c r="Q9" s="9"/>
      <c r="R9" s="9"/>
      <c r="S9" s="12">
        <f t="shared" si="2"/>
        <v>0</v>
      </c>
      <c r="T9" s="9"/>
      <c r="U9" s="9"/>
      <c r="V9" s="9"/>
      <c r="W9" s="9"/>
      <c r="X9" s="9"/>
      <c r="Y9" s="9">
        <v>-6</v>
      </c>
      <c r="Z9" s="13">
        <f t="shared" si="3"/>
        <v>-6</v>
      </c>
      <c r="AA9" s="10">
        <f t="shared" si="4"/>
        <v>0.60000000000000009</v>
      </c>
      <c r="AB9" s="11">
        <f t="shared" si="5"/>
        <v>0</v>
      </c>
      <c r="AC9" s="12">
        <f t="shared" si="6"/>
        <v>0</v>
      </c>
      <c r="AD9" s="13">
        <f t="shared" si="7"/>
        <v>-6</v>
      </c>
      <c r="AE9" s="14">
        <f t="shared" si="8"/>
        <v>-5.4</v>
      </c>
    </row>
    <row r="10" spans="1:32" x14ac:dyDescent="0.25">
      <c r="A10" s="9"/>
      <c r="B10" t="s">
        <v>37</v>
      </c>
      <c r="C10" s="9" t="s">
        <v>48</v>
      </c>
      <c r="D10" s="9">
        <v>0.9</v>
      </c>
      <c r="E10" s="9">
        <v>4.7</v>
      </c>
      <c r="F10" s="9">
        <v>4</v>
      </c>
      <c r="G10" s="10">
        <f t="shared" si="0"/>
        <v>-0.19999999999999973</v>
      </c>
      <c r="H10" s="9"/>
      <c r="I10" s="9"/>
      <c r="J10" s="9"/>
      <c r="K10" s="9"/>
      <c r="L10" s="11">
        <f t="shared" si="1"/>
        <v>0</v>
      </c>
      <c r="M10" s="9"/>
      <c r="N10" s="9"/>
      <c r="O10" s="9"/>
      <c r="P10" s="9"/>
      <c r="Q10" s="9"/>
      <c r="R10" s="9"/>
      <c r="S10" s="12">
        <f t="shared" si="2"/>
        <v>0</v>
      </c>
      <c r="T10" s="9"/>
      <c r="U10" s="9"/>
      <c r="V10" s="9"/>
      <c r="W10" s="9"/>
      <c r="X10" s="9"/>
      <c r="Y10" s="9">
        <v>-6</v>
      </c>
      <c r="Z10" s="13">
        <f t="shared" si="3"/>
        <v>-6</v>
      </c>
      <c r="AA10" s="10">
        <f t="shared" si="4"/>
        <v>-0.19999999999999973</v>
      </c>
      <c r="AB10" s="11">
        <f t="shared" si="5"/>
        <v>0</v>
      </c>
      <c r="AC10" s="12">
        <f t="shared" si="6"/>
        <v>0</v>
      </c>
      <c r="AD10" s="13">
        <f t="shared" si="7"/>
        <v>-6</v>
      </c>
      <c r="AE10" s="14">
        <f t="shared" si="8"/>
        <v>-6.1999999999999993</v>
      </c>
    </row>
    <row r="11" spans="1:32" x14ac:dyDescent="0.25">
      <c r="A11" s="9"/>
      <c r="B11" t="s">
        <v>39</v>
      </c>
      <c r="C11" s="9" t="s">
        <v>49</v>
      </c>
      <c r="D11" s="9">
        <v>1</v>
      </c>
      <c r="E11" s="9">
        <v>4.5999999999999996</v>
      </c>
      <c r="F11" s="9">
        <v>7</v>
      </c>
      <c r="G11" s="10">
        <f t="shared" si="0"/>
        <v>-3.4000000000000004</v>
      </c>
      <c r="H11" s="9"/>
      <c r="I11" s="9"/>
      <c r="J11" s="9"/>
      <c r="K11" s="9"/>
      <c r="L11" s="11">
        <f t="shared" si="1"/>
        <v>0</v>
      </c>
      <c r="M11" s="9"/>
      <c r="N11" s="9"/>
      <c r="O11" s="9"/>
      <c r="P11" s="9"/>
      <c r="Q11" s="9"/>
      <c r="R11" s="9"/>
      <c r="S11" s="12">
        <f t="shared" si="2"/>
        <v>0</v>
      </c>
      <c r="T11" s="9"/>
      <c r="U11" s="9"/>
      <c r="V11" s="9"/>
      <c r="W11" s="9"/>
      <c r="X11" s="9"/>
      <c r="Y11" s="9">
        <v>-6</v>
      </c>
      <c r="Z11" s="13">
        <f t="shared" si="3"/>
        <v>-6</v>
      </c>
      <c r="AA11" s="10">
        <f t="shared" si="4"/>
        <v>-3.4000000000000004</v>
      </c>
      <c r="AB11" s="11">
        <f t="shared" si="5"/>
        <v>0</v>
      </c>
      <c r="AC11" s="12">
        <f t="shared" si="6"/>
        <v>0</v>
      </c>
      <c r="AD11" s="13">
        <f t="shared" si="7"/>
        <v>-6</v>
      </c>
      <c r="AE11" s="14">
        <f t="shared" si="8"/>
        <v>-9.4</v>
      </c>
    </row>
    <row r="12" spans="1:32" x14ac:dyDescent="0.25">
      <c r="A12" s="9"/>
      <c r="B12" t="s">
        <v>40</v>
      </c>
      <c r="C12" s="9" t="s">
        <v>50</v>
      </c>
      <c r="D12" s="9">
        <v>0.8</v>
      </c>
      <c r="E12" s="9">
        <v>4.5</v>
      </c>
      <c r="F12" s="9">
        <v>10</v>
      </c>
      <c r="G12" s="10">
        <f t="shared" si="0"/>
        <v>-6.3</v>
      </c>
      <c r="H12" s="9"/>
      <c r="I12" s="9"/>
      <c r="J12" s="9"/>
      <c r="K12" s="9"/>
      <c r="L12" s="11">
        <f t="shared" si="1"/>
        <v>0</v>
      </c>
      <c r="M12" s="9"/>
      <c r="N12" s="9"/>
      <c r="O12" s="9"/>
      <c r="P12" s="9"/>
      <c r="Q12" s="9"/>
      <c r="R12" s="9"/>
      <c r="S12" s="12">
        <f t="shared" si="2"/>
        <v>0</v>
      </c>
      <c r="T12" s="9"/>
      <c r="U12" s="9"/>
      <c r="V12" s="9"/>
      <c r="W12" s="9"/>
      <c r="X12" s="9"/>
      <c r="Y12" s="9">
        <v>-6</v>
      </c>
      <c r="Z12" s="13">
        <f t="shared" si="3"/>
        <v>-6</v>
      </c>
      <c r="AA12" s="10">
        <f t="shared" si="4"/>
        <v>-6.3</v>
      </c>
      <c r="AB12" s="11">
        <f t="shared" si="5"/>
        <v>0</v>
      </c>
      <c r="AC12" s="12">
        <f t="shared" si="6"/>
        <v>0</v>
      </c>
      <c r="AD12" s="13">
        <f t="shared" si="7"/>
        <v>-6</v>
      </c>
      <c r="AE12" s="14">
        <f t="shared" si="8"/>
        <v>-12.3</v>
      </c>
    </row>
    <row r="13" spans="1:32" x14ac:dyDescent="0.25">
      <c r="A13" s="9"/>
      <c r="B13" t="s">
        <v>41</v>
      </c>
      <c r="C13" s="9" t="s">
        <v>48</v>
      </c>
      <c r="D13" s="9">
        <v>0.9</v>
      </c>
      <c r="E13" s="9">
        <v>4.0999999999999996</v>
      </c>
      <c r="F13" s="9">
        <v>8</v>
      </c>
      <c r="G13" s="10">
        <f t="shared" si="0"/>
        <v>-4.8000000000000007</v>
      </c>
      <c r="H13" s="9"/>
      <c r="I13" s="9"/>
      <c r="J13" s="9"/>
      <c r="K13" s="9"/>
      <c r="L13" s="11">
        <f t="shared" si="1"/>
        <v>0</v>
      </c>
      <c r="M13" s="9"/>
      <c r="N13" s="9"/>
      <c r="O13" s="9"/>
      <c r="P13" s="9"/>
      <c r="Q13" s="9"/>
      <c r="R13" s="9"/>
      <c r="S13" s="12">
        <f t="shared" si="2"/>
        <v>0</v>
      </c>
      <c r="T13" s="9"/>
      <c r="U13" s="9"/>
      <c r="V13" s="9"/>
      <c r="W13" s="9"/>
      <c r="X13" s="9"/>
      <c r="Y13" s="9">
        <v>-6</v>
      </c>
      <c r="Z13" s="13">
        <f t="shared" si="3"/>
        <v>-6</v>
      </c>
      <c r="AA13" s="10">
        <f t="shared" si="4"/>
        <v>-4.8000000000000007</v>
      </c>
      <c r="AB13" s="11">
        <f t="shared" si="5"/>
        <v>0</v>
      </c>
      <c r="AC13" s="12">
        <f t="shared" si="6"/>
        <v>0</v>
      </c>
      <c r="AD13" s="13">
        <f t="shared" si="7"/>
        <v>-6</v>
      </c>
      <c r="AE13" s="14">
        <f t="shared" si="8"/>
        <v>-10.8</v>
      </c>
    </row>
    <row r="14" spans="1:32" x14ac:dyDescent="0.25">
      <c r="A14" s="9"/>
      <c r="B14" t="s">
        <v>42</v>
      </c>
      <c r="C14" s="9" t="s">
        <v>49</v>
      </c>
      <c r="D14" s="9">
        <v>1.1000000000000001</v>
      </c>
      <c r="E14" s="9">
        <v>4.9000000000000004</v>
      </c>
      <c r="F14" s="9">
        <v>11</v>
      </c>
      <c r="G14" s="10">
        <f t="shared" si="0"/>
        <v>-7.1999999999999993</v>
      </c>
      <c r="H14" s="9"/>
      <c r="I14" s="9"/>
      <c r="J14" s="9"/>
      <c r="K14" s="9"/>
      <c r="L14" s="11">
        <f t="shared" si="1"/>
        <v>0</v>
      </c>
      <c r="M14" s="9"/>
      <c r="N14" s="9"/>
      <c r="O14" s="9"/>
      <c r="P14" s="9"/>
      <c r="Q14" s="9"/>
      <c r="R14" s="9"/>
      <c r="S14" s="12">
        <f t="shared" si="2"/>
        <v>0</v>
      </c>
      <c r="T14" s="9"/>
      <c r="U14" s="9"/>
      <c r="V14" s="9"/>
      <c r="W14" s="9"/>
      <c r="X14" s="9"/>
      <c r="Y14" s="9">
        <v>-6</v>
      </c>
      <c r="Z14" s="13">
        <f t="shared" si="3"/>
        <v>-6</v>
      </c>
      <c r="AA14" s="10">
        <f t="shared" si="4"/>
        <v>-7.1999999999999993</v>
      </c>
      <c r="AB14" s="11">
        <f t="shared" si="5"/>
        <v>0</v>
      </c>
      <c r="AC14" s="12">
        <f t="shared" si="6"/>
        <v>0</v>
      </c>
      <c r="AD14" s="13">
        <f t="shared" si="7"/>
        <v>-6</v>
      </c>
      <c r="AE14" s="14">
        <f t="shared" si="8"/>
        <v>-13.2</v>
      </c>
    </row>
    <row r="15" spans="1:32" x14ac:dyDescent="0.25">
      <c r="A15" s="9"/>
      <c r="B15" t="s">
        <v>43</v>
      </c>
      <c r="C15" s="9" t="s">
        <v>51</v>
      </c>
      <c r="D15" s="9">
        <v>0.6</v>
      </c>
      <c r="E15" s="9">
        <v>4.3</v>
      </c>
      <c r="F15" s="9">
        <v>3</v>
      </c>
      <c r="G15" s="10">
        <f t="shared" si="0"/>
        <v>0.69999999999999973</v>
      </c>
      <c r="H15" s="9"/>
      <c r="I15" s="9"/>
      <c r="J15" s="9"/>
      <c r="K15" s="9"/>
      <c r="L15" s="11">
        <f t="shared" si="1"/>
        <v>0</v>
      </c>
      <c r="M15" s="9"/>
      <c r="N15" s="9"/>
      <c r="O15" s="9"/>
      <c r="P15" s="9"/>
      <c r="Q15" s="9"/>
      <c r="R15" s="9"/>
      <c r="S15" s="12">
        <f t="shared" si="2"/>
        <v>0</v>
      </c>
      <c r="T15" s="9"/>
      <c r="U15" s="9"/>
      <c r="V15" s="9"/>
      <c r="W15" s="9"/>
      <c r="X15" s="9"/>
      <c r="Y15" s="9">
        <v>-6</v>
      </c>
      <c r="Z15" s="13">
        <f t="shared" si="3"/>
        <v>-6</v>
      </c>
      <c r="AA15" s="10">
        <f t="shared" si="4"/>
        <v>0.69999999999999973</v>
      </c>
      <c r="AB15" s="11">
        <f t="shared" si="5"/>
        <v>0</v>
      </c>
      <c r="AC15" s="12">
        <f t="shared" si="6"/>
        <v>0</v>
      </c>
      <c r="AD15" s="13">
        <f t="shared" si="7"/>
        <v>-6</v>
      </c>
      <c r="AE15" s="14">
        <f t="shared" si="8"/>
        <v>-5.3000000000000007</v>
      </c>
    </row>
    <row r="16" spans="1:32" x14ac:dyDescent="0.25">
      <c r="A16" s="9"/>
      <c r="B16" t="s">
        <v>44</v>
      </c>
      <c r="C16" s="9" t="s">
        <v>5</v>
      </c>
      <c r="D16" s="9">
        <v>1.1000000000000001</v>
      </c>
      <c r="E16" s="9">
        <v>4.4000000000000004</v>
      </c>
      <c r="F16" s="9">
        <v>10</v>
      </c>
      <c r="G16" s="10">
        <f t="shared" si="0"/>
        <v>-6.6999999999999993</v>
      </c>
      <c r="H16" s="9"/>
      <c r="I16" s="9"/>
      <c r="J16" s="9"/>
      <c r="K16" s="9"/>
      <c r="L16" s="11">
        <f t="shared" si="1"/>
        <v>0</v>
      </c>
      <c r="M16" s="9"/>
      <c r="N16" s="9"/>
      <c r="O16" s="9"/>
      <c r="P16" s="9"/>
      <c r="Q16" s="9"/>
      <c r="R16" s="9"/>
      <c r="S16" s="12">
        <f t="shared" si="2"/>
        <v>0</v>
      </c>
      <c r="T16" s="9"/>
      <c r="U16" s="9"/>
      <c r="V16" s="9"/>
      <c r="W16" s="9"/>
      <c r="X16" s="9"/>
      <c r="Y16" s="9">
        <v>-6</v>
      </c>
      <c r="Z16" s="13">
        <f t="shared" si="3"/>
        <v>-6</v>
      </c>
      <c r="AA16" s="10">
        <f t="shared" si="4"/>
        <v>-6.6999999999999993</v>
      </c>
      <c r="AB16" s="11">
        <f t="shared" si="5"/>
        <v>0</v>
      </c>
      <c r="AC16" s="12">
        <f t="shared" si="6"/>
        <v>0</v>
      </c>
      <c r="AD16" s="13">
        <f t="shared" si="7"/>
        <v>-6</v>
      </c>
      <c r="AE16" s="14">
        <f t="shared" si="8"/>
        <v>-12.7</v>
      </c>
    </row>
    <row r="17" spans="1:31" x14ac:dyDescent="0.25">
      <c r="A17" s="9"/>
      <c r="B17" t="s">
        <v>45</v>
      </c>
      <c r="C17" s="9" t="s">
        <v>52</v>
      </c>
      <c r="D17" s="9">
        <v>1</v>
      </c>
      <c r="E17" s="9">
        <v>4.3</v>
      </c>
      <c r="F17" s="9">
        <v>8</v>
      </c>
      <c r="G17" s="10">
        <f t="shared" si="0"/>
        <v>-4.7</v>
      </c>
      <c r="H17" s="9"/>
      <c r="I17" s="9"/>
      <c r="J17" s="9"/>
      <c r="K17" s="9"/>
      <c r="L17" s="11">
        <f t="shared" si="1"/>
        <v>0</v>
      </c>
      <c r="M17" s="9"/>
      <c r="N17" s="9"/>
      <c r="O17" s="9"/>
      <c r="P17" s="9"/>
      <c r="Q17" s="9"/>
      <c r="R17" s="9"/>
      <c r="S17" s="12">
        <f t="shared" si="2"/>
        <v>0</v>
      </c>
      <c r="T17" s="9"/>
      <c r="U17" s="9"/>
      <c r="V17" s="9"/>
      <c r="W17" s="9"/>
      <c r="X17" s="9"/>
      <c r="Y17" s="9">
        <v>-6</v>
      </c>
      <c r="Z17" s="13">
        <f t="shared" si="3"/>
        <v>-6</v>
      </c>
      <c r="AA17" s="10">
        <f t="shared" si="4"/>
        <v>-4.7</v>
      </c>
      <c r="AB17" s="11">
        <f t="shared" si="5"/>
        <v>0</v>
      </c>
      <c r="AC17" s="12">
        <f t="shared" si="6"/>
        <v>0</v>
      </c>
      <c r="AD17" s="13">
        <f t="shared" si="7"/>
        <v>-6</v>
      </c>
      <c r="AE17" s="14">
        <f t="shared" si="8"/>
        <v>-10.7</v>
      </c>
    </row>
  </sheetData>
  <mergeCells count="5">
    <mergeCell ref="T3:Z3"/>
    <mergeCell ref="AA3:AE3"/>
    <mergeCell ref="E3:G3"/>
    <mergeCell ref="H3:L3"/>
    <mergeCell ref="M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abSelected="1" topLeftCell="K1" workbookViewId="0">
      <selection activeCell="W8" sqref="W8"/>
    </sheetView>
  </sheetViews>
  <sheetFormatPr defaultRowHeight="15" x14ac:dyDescent="0.25"/>
  <cols>
    <col min="1" max="1" width="3.42578125" customWidth="1"/>
    <col min="2" max="2" width="23" customWidth="1"/>
    <col min="3" max="3" width="19.28515625" customWidth="1"/>
    <col min="4" max="4" width="11.7109375" customWidth="1"/>
    <col min="6" max="9" width="11.140625" customWidth="1"/>
    <col min="11" max="11" width="13.85546875" customWidth="1"/>
    <col min="12" max="12" width="17.28515625" customWidth="1"/>
    <col min="13" max="13" width="13.28515625" customWidth="1"/>
    <col min="14" max="17" width="11.140625" customWidth="1"/>
    <col min="29" max="29" width="9.140625" style="3"/>
  </cols>
  <sheetData>
    <row r="1" spans="1:30" s="1" customFormat="1" ht="129" customHeight="1" thickBot="1" x14ac:dyDescent="0.3">
      <c r="A1" s="4" t="s">
        <v>2</v>
      </c>
      <c r="B1" s="4" t="s">
        <v>1</v>
      </c>
      <c r="C1" s="4" t="s">
        <v>4</v>
      </c>
      <c r="D1" s="5" t="s">
        <v>3</v>
      </c>
      <c r="E1" s="29" t="s">
        <v>104</v>
      </c>
      <c r="F1" s="26" t="s">
        <v>11</v>
      </c>
      <c r="G1" s="27" t="s">
        <v>102</v>
      </c>
      <c r="H1" s="27" t="s">
        <v>103</v>
      </c>
      <c r="I1" s="27" t="s">
        <v>101</v>
      </c>
      <c r="J1" s="28" t="s">
        <v>9</v>
      </c>
      <c r="K1" s="30" t="s">
        <v>105</v>
      </c>
      <c r="L1" s="31" t="s">
        <v>106</v>
      </c>
      <c r="M1" s="31" t="s">
        <v>107</v>
      </c>
      <c r="N1" s="31" t="s">
        <v>108</v>
      </c>
      <c r="O1" s="31" t="s">
        <v>22</v>
      </c>
      <c r="P1" s="31" t="s">
        <v>109</v>
      </c>
      <c r="Q1" s="31" t="s">
        <v>110</v>
      </c>
      <c r="R1" s="7" t="s">
        <v>23</v>
      </c>
      <c r="S1" s="7" t="s">
        <v>25</v>
      </c>
      <c r="T1" s="7" t="s">
        <v>26</v>
      </c>
      <c r="U1" s="7" t="s">
        <v>27</v>
      </c>
      <c r="V1" s="7" t="s">
        <v>28</v>
      </c>
      <c r="W1" s="7" t="s">
        <v>30</v>
      </c>
      <c r="X1" s="7" t="s">
        <v>112</v>
      </c>
      <c r="Y1" s="7" t="s">
        <v>55</v>
      </c>
      <c r="Z1" s="7" t="s">
        <v>111</v>
      </c>
      <c r="AA1" s="7" t="s">
        <v>23</v>
      </c>
      <c r="AB1" s="7" t="s">
        <v>54</v>
      </c>
      <c r="AC1" s="8" t="s">
        <v>32</v>
      </c>
      <c r="AD1" s="2"/>
    </row>
    <row r="2" spans="1:30" s="1" customFormat="1" ht="12.75" customHeight="1" x14ac:dyDescent="0.25">
      <c r="A2" s="9">
        <v>1</v>
      </c>
      <c r="B2" s="24"/>
      <c r="C2" s="24"/>
      <c r="D2" s="25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2"/>
    </row>
    <row r="3" spans="1:30" s="1" customFormat="1" ht="15" customHeight="1" x14ac:dyDescent="0.25">
      <c r="A3" s="9">
        <v>2</v>
      </c>
      <c r="B3" s="24"/>
      <c r="C3" s="24"/>
      <c r="D3" s="2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2"/>
    </row>
    <row r="4" spans="1:30" x14ac:dyDescent="0.25">
      <c r="A4" s="9">
        <v>3</v>
      </c>
      <c r="B4" s="15" t="s">
        <v>56</v>
      </c>
      <c r="C4" s="16" t="s">
        <v>47</v>
      </c>
      <c r="D4" s="22">
        <v>0.9</v>
      </c>
      <c r="E4" s="9">
        <v>1</v>
      </c>
      <c r="F4" s="9">
        <v>2</v>
      </c>
      <c r="G4" s="9">
        <v>3</v>
      </c>
      <c r="H4" s="9">
        <v>5</v>
      </c>
      <c r="I4" s="9">
        <v>5</v>
      </c>
      <c r="J4" s="10">
        <f>SUM(E4+F4+G4+H4+I4)</f>
        <v>16</v>
      </c>
      <c r="K4" s="9"/>
      <c r="L4" s="9"/>
      <c r="M4" s="9"/>
      <c r="N4" s="9"/>
      <c r="O4" s="9"/>
      <c r="P4" s="9">
        <v>5</v>
      </c>
      <c r="Q4" s="9"/>
      <c r="R4" s="11">
        <f>SUM(K4+L4+M4+N4+O4+P4+Q4)</f>
        <v>5</v>
      </c>
      <c r="S4" s="9"/>
      <c r="T4" s="9"/>
      <c r="U4" s="9"/>
      <c r="V4" s="9"/>
      <c r="W4" s="9">
        <v>4</v>
      </c>
      <c r="X4" s="9"/>
      <c r="Y4" s="12">
        <f>SUM(S4+T4+U4+V4+W4+X4)</f>
        <v>4</v>
      </c>
      <c r="Z4" s="10">
        <f>SUM(J4)</f>
        <v>16</v>
      </c>
      <c r="AA4" s="11">
        <f>SUM(R4)</f>
        <v>5</v>
      </c>
      <c r="AB4" s="12">
        <f>SUM(Y4)</f>
        <v>4</v>
      </c>
      <c r="AC4" s="14">
        <f>SUM(J4+R4+Y4)</f>
        <v>25</v>
      </c>
    </row>
    <row r="5" spans="1:30" x14ac:dyDescent="0.25">
      <c r="A5" s="9">
        <v>4</v>
      </c>
      <c r="B5" s="15" t="s">
        <v>57</v>
      </c>
      <c r="C5" s="16" t="s">
        <v>47</v>
      </c>
      <c r="D5" s="22">
        <v>0.9</v>
      </c>
      <c r="E5" s="9">
        <v>4.5</v>
      </c>
      <c r="F5" s="9">
        <v>8</v>
      </c>
      <c r="G5" s="9"/>
      <c r="H5" s="9"/>
      <c r="I5" s="9"/>
      <c r="J5" s="10">
        <f t="shared" ref="J5:J16" si="0">SUM(E5+F5+G5+H5+I5)</f>
        <v>12.5</v>
      </c>
      <c r="K5" s="9"/>
      <c r="L5" s="9"/>
      <c r="M5" s="9"/>
      <c r="N5" s="9"/>
      <c r="O5" s="9"/>
      <c r="P5" s="9"/>
      <c r="Q5" s="9"/>
      <c r="R5" s="11">
        <f t="shared" ref="R5:R16" si="1">SUM(K5+L5+M5+N5+O5+P5+Q5)</f>
        <v>0</v>
      </c>
      <c r="S5" s="9"/>
      <c r="T5" s="9"/>
      <c r="U5" s="9"/>
      <c r="V5" s="9"/>
      <c r="W5" s="9"/>
      <c r="X5" s="9"/>
      <c r="Y5" s="12">
        <f t="shared" ref="Y5:Y16" si="2">SUM(S5+T5+U5+V5+W5+X5)</f>
        <v>0</v>
      </c>
      <c r="Z5" s="10">
        <f t="shared" ref="Z5:Z16" si="3">SUM(J5)</f>
        <v>12.5</v>
      </c>
      <c r="AA5" s="11">
        <f t="shared" ref="AA5:AA16" si="4">SUM(R5)</f>
        <v>0</v>
      </c>
      <c r="AB5" s="12">
        <f t="shared" ref="AB5:AB16" si="5">SUM(Y5)</f>
        <v>0</v>
      </c>
      <c r="AC5" s="14">
        <f t="shared" ref="AC5:AC16" si="6">SUM(J5+R5+Y5)</f>
        <v>12.5</v>
      </c>
    </row>
    <row r="6" spans="1:30" x14ac:dyDescent="0.25">
      <c r="A6" s="9">
        <v>5</v>
      </c>
      <c r="B6" s="15" t="s">
        <v>58</v>
      </c>
      <c r="C6" s="16" t="s">
        <v>113</v>
      </c>
      <c r="D6" s="22">
        <v>0.1</v>
      </c>
      <c r="E6" s="9">
        <v>4.7</v>
      </c>
      <c r="F6" s="9">
        <v>9</v>
      </c>
      <c r="G6" s="9"/>
      <c r="H6" s="9"/>
      <c r="I6" s="9"/>
      <c r="J6" s="10">
        <f t="shared" si="0"/>
        <v>13.7</v>
      </c>
      <c r="K6" s="9"/>
      <c r="L6" s="9"/>
      <c r="M6" s="9"/>
      <c r="N6" s="9"/>
      <c r="O6" s="9"/>
      <c r="P6" s="9"/>
      <c r="Q6" s="9"/>
      <c r="R6" s="11">
        <f t="shared" si="1"/>
        <v>0</v>
      </c>
      <c r="S6" s="9"/>
      <c r="T6" s="9"/>
      <c r="U6" s="9"/>
      <c r="V6" s="9"/>
      <c r="W6" s="9"/>
      <c r="X6" s="9"/>
      <c r="Y6" s="12">
        <f t="shared" si="2"/>
        <v>0</v>
      </c>
      <c r="Z6" s="10">
        <f t="shared" si="3"/>
        <v>13.7</v>
      </c>
      <c r="AA6" s="11">
        <f t="shared" si="4"/>
        <v>0</v>
      </c>
      <c r="AB6" s="12">
        <f t="shared" si="5"/>
        <v>0</v>
      </c>
      <c r="AC6" s="14">
        <f t="shared" si="6"/>
        <v>13.7</v>
      </c>
    </row>
    <row r="7" spans="1:30" x14ac:dyDescent="0.25">
      <c r="A7" s="9">
        <v>6</v>
      </c>
      <c r="B7" s="15" t="s">
        <v>59</v>
      </c>
      <c r="C7" s="16" t="s">
        <v>51</v>
      </c>
      <c r="D7" s="22">
        <v>0.3</v>
      </c>
      <c r="E7" s="9">
        <v>4.8</v>
      </c>
      <c r="F7" s="9">
        <v>5</v>
      </c>
      <c r="G7" s="9"/>
      <c r="H7" s="9"/>
      <c r="I7" s="9"/>
      <c r="J7" s="10">
        <f t="shared" si="0"/>
        <v>9.8000000000000007</v>
      </c>
      <c r="K7" s="9"/>
      <c r="L7" s="9"/>
      <c r="M7" s="9"/>
      <c r="N7" s="9"/>
      <c r="O7" s="9"/>
      <c r="P7" s="9"/>
      <c r="Q7" s="9"/>
      <c r="R7" s="11">
        <f t="shared" si="1"/>
        <v>0</v>
      </c>
      <c r="S7" s="9"/>
      <c r="T7" s="9"/>
      <c r="U7" s="9"/>
      <c r="V7" s="9"/>
      <c r="W7" s="9"/>
      <c r="X7" s="9"/>
      <c r="Y7" s="12">
        <f t="shared" si="2"/>
        <v>0</v>
      </c>
      <c r="Z7" s="10">
        <f t="shared" si="3"/>
        <v>9.8000000000000007</v>
      </c>
      <c r="AA7" s="11">
        <f t="shared" si="4"/>
        <v>0</v>
      </c>
      <c r="AB7" s="12">
        <f t="shared" si="5"/>
        <v>0</v>
      </c>
      <c r="AC7" s="14">
        <f t="shared" si="6"/>
        <v>9.8000000000000007</v>
      </c>
    </row>
    <row r="8" spans="1:30" x14ac:dyDescent="0.25">
      <c r="A8" s="9">
        <v>7</v>
      </c>
      <c r="B8" s="17" t="s">
        <v>60</v>
      </c>
      <c r="C8" s="16" t="s">
        <v>48</v>
      </c>
      <c r="D8" s="22">
        <v>0.9</v>
      </c>
      <c r="E8" s="9">
        <v>4.7</v>
      </c>
      <c r="F8" s="9">
        <v>3</v>
      </c>
      <c r="G8" s="9"/>
      <c r="H8" s="9"/>
      <c r="I8" s="9"/>
      <c r="J8" s="10">
        <f t="shared" si="0"/>
        <v>7.7</v>
      </c>
      <c r="K8" s="9"/>
      <c r="L8" s="9"/>
      <c r="M8" s="9"/>
      <c r="N8" s="9"/>
      <c r="O8" s="9"/>
      <c r="P8" s="9"/>
      <c r="Q8" s="9"/>
      <c r="R8" s="11">
        <f t="shared" si="1"/>
        <v>0</v>
      </c>
      <c r="S8" s="9"/>
      <c r="T8" s="9"/>
      <c r="U8" s="9"/>
      <c r="V8" s="9"/>
      <c r="W8" s="9"/>
      <c r="X8" s="9"/>
      <c r="Y8" s="12">
        <f t="shared" si="2"/>
        <v>0</v>
      </c>
      <c r="Z8" s="10">
        <f t="shared" si="3"/>
        <v>7.7</v>
      </c>
      <c r="AA8" s="11">
        <f t="shared" si="4"/>
        <v>0</v>
      </c>
      <c r="AB8" s="12">
        <f t="shared" si="5"/>
        <v>0</v>
      </c>
      <c r="AC8" s="14">
        <f t="shared" si="6"/>
        <v>7.7</v>
      </c>
    </row>
    <row r="9" spans="1:30" x14ac:dyDescent="0.25">
      <c r="A9" s="9">
        <v>8</v>
      </c>
      <c r="B9" s="15" t="s">
        <v>61</v>
      </c>
      <c r="C9" s="16" t="s">
        <v>52</v>
      </c>
      <c r="D9" s="22">
        <v>0.7</v>
      </c>
      <c r="E9" s="9">
        <v>4.7</v>
      </c>
      <c r="F9" s="9">
        <v>4</v>
      </c>
      <c r="G9" s="9"/>
      <c r="H9" s="9"/>
      <c r="I9" s="9"/>
      <c r="J9" s="10">
        <f t="shared" si="0"/>
        <v>8.6999999999999993</v>
      </c>
      <c r="K9" s="9"/>
      <c r="L9" s="9"/>
      <c r="M9" s="9"/>
      <c r="N9" s="9"/>
      <c r="O9" s="9"/>
      <c r="P9" s="9"/>
      <c r="Q9" s="9"/>
      <c r="R9" s="11">
        <f t="shared" si="1"/>
        <v>0</v>
      </c>
      <c r="S9" s="9"/>
      <c r="T9" s="9"/>
      <c r="U9" s="9"/>
      <c r="V9" s="9"/>
      <c r="W9" s="9"/>
      <c r="X9" s="9"/>
      <c r="Y9" s="12">
        <f t="shared" si="2"/>
        <v>0</v>
      </c>
      <c r="Z9" s="10">
        <f t="shared" si="3"/>
        <v>8.6999999999999993</v>
      </c>
      <c r="AA9" s="11">
        <f t="shared" si="4"/>
        <v>0</v>
      </c>
      <c r="AB9" s="12">
        <f t="shared" si="5"/>
        <v>0</v>
      </c>
      <c r="AC9" s="14">
        <f t="shared" si="6"/>
        <v>8.6999999999999993</v>
      </c>
    </row>
    <row r="10" spans="1:30" x14ac:dyDescent="0.25">
      <c r="A10" s="9">
        <v>9</v>
      </c>
      <c r="B10" s="17" t="s">
        <v>62</v>
      </c>
      <c r="C10" s="16" t="s">
        <v>5</v>
      </c>
      <c r="D10" s="22">
        <v>1</v>
      </c>
      <c r="E10" s="9">
        <v>4.5999999999999996</v>
      </c>
      <c r="F10" s="9">
        <v>7</v>
      </c>
      <c r="G10" s="9"/>
      <c r="H10" s="9"/>
      <c r="I10" s="9"/>
      <c r="J10" s="10">
        <f t="shared" si="0"/>
        <v>11.6</v>
      </c>
      <c r="K10" s="9"/>
      <c r="L10" s="9"/>
      <c r="M10" s="9"/>
      <c r="N10" s="9"/>
      <c r="O10" s="9"/>
      <c r="P10" s="9"/>
      <c r="Q10" s="9"/>
      <c r="R10" s="11">
        <f t="shared" si="1"/>
        <v>0</v>
      </c>
      <c r="S10" s="9"/>
      <c r="T10" s="9"/>
      <c r="U10" s="9"/>
      <c r="V10" s="9"/>
      <c r="W10" s="9"/>
      <c r="X10" s="9"/>
      <c r="Y10" s="12">
        <f t="shared" si="2"/>
        <v>0</v>
      </c>
      <c r="Z10" s="10">
        <f t="shared" si="3"/>
        <v>11.6</v>
      </c>
      <c r="AA10" s="11">
        <f t="shared" si="4"/>
        <v>0</v>
      </c>
      <c r="AB10" s="12">
        <f t="shared" si="5"/>
        <v>0</v>
      </c>
      <c r="AC10" s="14">
        <f t="shared" si="6"/>
        <v>11.6</v>
      </c>
    </row>
    <row r="11" spans="1:30" x14ac:dyDescent="0.25">
      <c r="A11" s="9">
        <v>10</v>
      </c>
      <c r="B11" s="15" t="s">
        <v>63</v>
      </c>
      <c r="C11" s="16" t="s">
        <v>5</v>
      </c>
      <c r="D11" s="22">
        <v>1</v>
      </c>
      <c r="E11" s="9">
        <v>4.5</v>
      </c>
      <c r="F11" s="9">
        <v>10</v>
      </c>
      <c r="G11" s="9"/>
      <c r="H11" s="9"/>
      <c r="I11" s="9"/>
      <c r="J11" s="10">
        <f t="shared" si="0"/>
        <v>14.5</v>
      </c>
      <c r="K11" s="9"/>
      <c r="L11" s="9"/>
      <c r="M11" s="9"/>
      <c r="N11" s="9"/>
      <c r="O11" s="9"/>
      <c r="P11" s="9"/>
      <c r="Q11" s="9"/>
      <c r="R11" s="11">
        <f t="shared" si="1"/>
        <v>0</v>
      </c>
      <c r="S11" s="9"/>
      <c r="T11" s="9"/>
      <c r="U11" s="9"/>
      <c r="V11" s="9"/>
      <c r="W11" s="9"/>
      <c r="X11" s="9"/>
      <c r="Y11" s="12">
        <f t="shared" si="2"/>
        <v>0</v>
      </c>
      <c r="Z11" s="10">
        <f t="shared" si="3"/>
        <v>14.5</v>
      </c>
      <c r="AA11" s="11">
        <f t="shared" si="4"/>
        <v>0</v>
      </c>
      <c r="AB11" s="12">
        <f t="shared" si="5"/>
        <v>0</v>
      </c>
      <c r="AC11" s="14">
        <f t="shared" si="6"/>
        <v>14.5</v>
      </c>
    </row>
    <row r="12" spans="1:30" x14ac:dyDescent="0.25">
      <c r="A12" s="9">
        <v>11</v>
      </c>
      <c r="B12" s="15" t="s">
        <v>64</v>
      </c>
      <c r="C12" s="16" t="s">
        <v>46</v>
      </c>
      <c r="D12" s="22">
        <v>1.2</v>
      </c>
      <c r="E12" s="9">
        <v>4.0999999999999996</v>
      </c>
      <c r="F12" s="9">
        <v>8</v>
      </c>
      <c r="G12" s="9"/>
      <c r="H12" s="9"/>
      <c r="I12" s="9"/>
      <c r="J12" s="10">
        <f t="shared" si="0"/>
        <v>12.1</v>
      </c>
      <c r="K12" s="9"/>
      <c r="L12" s="9"/>
      <c r="M12" s="9"/>
      <c r="N12" s="9"/>
      <c r="O12" s="9"/>
      <c r="P12" s="9"/>
      <c r="Q12" s="9"/>
      <c r="R12" s="11">
        <f t="shared" si="1"/>
        <v>0</v>
      </c>
      <c r="S12" s="9"/>
      <c r="T12" s="9"/>
      <c r="U12" s="9"/>
      <c r="V12" s="9"/>
      <c r="W12" s="9"/>
      <c r="X12" s="9"/>
      <c r="Y12" s="12">
        <f t="shared" si="2"/>
        <v>0</v>
      </c>
      <c r="Z12" s="10">
        <f t="shared" si="3"/>
        <v>12.1</v>
      </c>
      <c r="AA12" s="11">
        <f t="shared" si="4"/>
        <v>0</v>
      </c>
      <c r="AB12" s="12">
        <f t="shared" si="5"/>
        <v>0</v>
      </c>
      <c r="AC12" s="14">
        <f t="shared" si="6"/>
        <v>12.1</v>
      </c>
    </row>
    <row r="13" spans="1:30" x14ac:dyDescent="0.25">
      <c r="A13" s="9">
        <v>12</v>
      </c>
      <c r="B13" s="18" t="s">
        <v>65</v>
      </c>
      <c r="C13" s="16" t="s">
        <v>49</v>
      </c>
      <c r="D13" s="22">
        <v>0.8</v>
      </c>
      <c r="E13" s="9">
        <v>4.9000000000000004</v>
      </c>
      <c r="F13" s="9">
        <v>11</v>
      </c>
      <c r="G13" s="9"/>
      <c r="H13" s="9"/>
      <c r="I13" s="9"/>
      <c r="J13" s="10">
        <f t="shared" si="0"/>
        <v>15.9</v>
      </c>
      <c r="K13" s="9"/>
      <c r="L13" s="9"/>
      <c r="M13" s="9"/>
      <c r="N13" s="9"/>
      <c r="O13" s="9"/>
      <c r="P13" s="9"/>
      <c r="Q13" s="9"/>
      <c r="R13" s="11">
        <f t="shared" si="1"/>
        <v>0</v>
      </c>
      <c r="S13" s="9"/>
      <c r="T13" s="9"/>
      <c r="U13" s="9"/>
      <c r="V13" s="9"/>
      <c r="W13" s="9"/>
      <c r="X13" s="9"/>
      <c r="Y13" s="12">
        <f t="shared" si="2"/>
        <v>0</v>
      </c>
      <c r="Z13" s="10">
        <f t="shared" si="3"/>
        <v>15.9</v>
      </c>
      <c r="AA13" s="11">
        <f t="shared" si="4"/>
        <v>0</v>
      </c>
      <c r="AB13" s="12">
        <f t="shared" si="5"/>
        <v>0</v>
      </c>
      <c r="AC13" s="14">
        <f t="shared" si="6"/>
        <v>15.9</v>
      </c>
    </row>
    <row r="14" spans="1:30" x14ac:dyDescent="0.25">
      <c r="A14" s="9">
        <v>13</v>
      </c>
      <c r="B14" s="19" t="s">
        <v>66</v>
      </c>
      <c r="C14" s="16" t="s">
        <v>48</v>
      </c>
      <c r="D14" s="22">
        <v>0.9</v>
      </c>
      <c r="E14" s="9">
        <v>4.3</v>
      </c>
      <c r="F14" s="9">
        <v>3</v>
      </c>
      <c r="G14" s="9"/>
      <c r="H14" s="9"/>
      <c r="I14" s="9"/>
      <c r="J14" s="10">
        <f t="shared" si="0"/>
        <v>7.3</v>
      </c>
      <c r="K14" s="9"/>
      <c r="L14" s="9"/>
      <c r="M14" s="9"/>
      <c r="N14" s="9"/>
      <c r="O14" s="9"/>
      <c r="P14" s="9"/>
      <c r="Q14" s="9"/>
      <c r="R14" s="11">
        <f t="shared" si="1"/>
        <v>0</v>
      </c>
      <c r="S14" s="9"/>
      <c r="T14" s="9"/>
      <c r="U14" s="9"/>
      <c r="V14" s="9"/>
      <c r="W14" s="9"/>
      <c r="X14" s="9"/>
      <c r="Y14" s="12">
        <f t="shared" si="2"/>
        <v>0</v>
      </c>
      <c r="Z14" s="10">
        <f t="shared" si="3"/>
        <v>7.3</v>
      </c>
      <c r="AA14" s="11">
        <f t="shared" si="4"/>
        <v>0</v>
      </c>
      <c r="AB14" s="12">
        <f t="shared" si="5"/>
        <v>0</v>
      </c>
      <c r="AC14" s="14">
        <f t="shared" si="6"/>
        <v>7.3</v>
      </c>
    </row>
    <row r="15" spans="1:30" x14ac:dyDescent="0.25">
      <c r="A15" s="9">
        <v>14</v>
      </c>
      <c r="B15" s="17" t="s">
        <v>67</v>
      </c>
      <c r="C15" s="16" t="s">
        <v>48</v>
      </c>
      <c r="D15" s="22">
        <v>0.9</v>
      </c>
      <c r="E15" s="9">
        <v>4.4000000000000004</v>
      </c>
      <c r="F15" s="9">
        <v>10</v>
      </c>
      <c r="G15" s="9"/>
      <c r="H15" s="9"/>
      <c r="I15" s="9"/>
      <c r="J15" s="10">
        <f t="shared" si="0"/>
        <v>14.4</v>
      </c>
      <c r="K15" s="9"/>
      <c r="L15" s="9"/>
      <c r="M15" s="9"/>
      <c r="N15" s="9"/>
      <c r="O15" s="9"/>
      <c r="P15" s="9"/>
      <c r="Q15" s="9"/>
      <c r="R15" s="11">
        <f t="shared" si="1"/>
        <v>0</v>
      </c>
      <c r="S15" s="9"/>
      <c r="T15" s="9"/>
      <c r="U15" s="9"/>
      <c r="V15" s="9"/>
      <c r="W15" s="9"/>
      <c r="X15" s="9"/>
      <c r="Y15" s="12">
        <f t="shared" si="2"/>
        <v>0</v>
      </c>
      <c r="Z15" s="10">
        <f t="shared" si="3"/>
        <v>14.4</v>
      </c>
      <c r="AA15" s="11">
        <f t="shared" si="4"/>
        <v>0</v>
      </c>
      <c r="AB15" s="12">
        <f t="shared" si="5"/>
        <v>0</v>
      </c>
      <c r="AC15" s="14">
        <f t="shared" si="6"/>
        <v>14.4</v>
      </c>
    </row>
    <row r="16" spans="1:30" x14ac:dyDescent="0.25">
      <c r="A16" s="9">
        <v>15</v>
      </c>
      <c r="B16" s="17" t="s">
        <v>68</v>
      </c>
      <c r="C16" s="16" t="s">
        <v>5</v>
      </c>
      <c r="D16" s="22">
        <v>1</v>
      </c>
      <c r="E16" s="9">
        <v>4.3</v>
      </c>
      <c r="F16" s="9">
        <v>8</v>
      </c>
      <c r="G16" s="9"/>
      <c r="H16" s="9"/>
      <c r="I16" s="9"/>
      <c r="J16" s="10">
        <f t="shared" si="0"/>
        <v>12.3</v>
      </c>
      <c r="K16" s="9"/>
      <c r="L16" s="9"/>
      <c r="M16" s="9"/>
      <c r="N16" s="9"/>
      <c r="O16" s="9"/>
      <c r="P16" s="9"/>
      <c r="Q16" s="9"/>
      <c r="R16" s="11">
        <f t="shared" si="1"/>
        <v>0</v>
      </c>
      <c r="S16" s="9"/>
      <c r="T16" s="9"/>
      <c r="U16" s="9"/>
      <c r="V16" s="9"/>
      <c r="W16" s="9"/>
      <c r="X16" s="9"/>
      <c r="Y16" s="12">
        <f t="shared" si="2"/>
        <v>0</v>
      </c>
      <c r="Z16" s="10">
        <f t="shared" si="3"/>
        <v>12.3</v>
      </c>
      <c r="AA16" s="11">
        <f t="shared" si="4"/>
        <v>0</v>
      </c>
      <c r="AB16" s="12">
        <f t="shared" si="5"/>
        <v>0</v>
      </c>
      <c r="AC16" s="14">
        <f t="shared" si="6"/>
        <v>12.3</v>
      </c>
    </row>
    <row r="17" spans="1:29" x14ac:dyDescent="0.25">
      <c r="A17" s="9">
        <v>16</v>
      </c>
      <c r="B17" s="17" t="s">
        <v>69</v>
      </c>
      <c r="C17" s="16" t="s">
        <v>51</v>
      </c>
      <c r="D17" s="23">
        <v>0.3</v>
      </c>
      <c r="E17" s="9">
        <v>4.3</v>
      </c>
      <c r="F17" s="9">
        <v>8</v>
      </c>
      <c r="G17" s="9"/>
      <c r="H17" s="9"/>
      <c r="I17" s="9"/>
      <c r="J17" s="10">
        <f t="shared" ref="J17:J40" si="7">SUM(E17+F17+G17+H17+I17)</f>
        <v>12.3</v>
      </c>
      <c r="K17" s="9"/>
      <c r="L17" s="9"/>
      <c r="M17" s="9"/>
      <c r="N17" s="9"/>
      <c r="O17" s="9"/>
      <c r="P17" s="9"/>
      <c r="Q17" s="9"/>
      <c r="R17" s="11">
        <f t="shared" ref="R17:R40" si="8">SUM(K17+L17+M17+N17+O17+P17+Q17)</f>
        <v>0</v>
      </c>
      <c r="S17" s="9"/>
      <c r="T17" s="9"/>
      <c r="U17" s="9"/>
      <c r="V17" s="9"/>
      <c r="W17" s="9"/>
      <c r="X17" s="9"/>
      <c r="Y17" s="12">
        <f t="shared" ref="Y17:Y40" si="9">SUM(S17+T17+U17+V17+W17+X17)</f>
        <v>0</v>
      </c>
      <c r="Z17" s="10">
        <f t="shared" ref="Z17:Z40" si="10">SUM(J17)</f>
        <v>12.3</v>
      </c>
      <c r="AA17" s="11">
        <f t="shared" ref="AA17:AA40" si="11">SUM(R17)</f>
        <v>0</v>
      </c>
      <c r="AB17" s="12">
        <f t="shared" ref="AB17:AB40" si="12">SUM(Y17)</f>
        <v>0</v>
      </c>
      <c r="AC17" s="14">
        <f t="shared" ref="AC17:AC40" si="13">SUM(J17+R17+Y17)</f>
        <v>12.3</v>
      </c>
    </row>
    <row r="18" spans="1:29" x14ac:dyDescent="0.25">
      <c r="A18" s="9">
        <v>17</v>
      </c>
      <c r="B18" s="20" t="s">
        <v>70</v>
      </c>
      <c r="C18" s="16" t="s">
        <v>52</v>
      </c>
      <c r="D18" s="23">
        <v>0.7</v>
      </c>
      <c r="E18" s="9">
        <v>4.3</v>
      </c>
      <c r="F18" s="9">
        <v>8</v>
      </c>
      <c r="G18" s="9"/>
      <c r="H18" s="9"/>
      <c r="I18" s="9"/>
      <c r="J18" s="10">
        <f t="shared" si="7"/>
        <v>12.3</v>
      </c>
      <c r="K18" s="9"/>
      <c r="L18" s="9"/>
      <c r="M18" s="9"/>
      <c r="N18" s="9"/>
      <c r="O18" s="9"/>
      <c r="P18" s="9"/>
      <c r="Q18" s="9"/>
      <c r="R18" s="11">
        <f t="shared" si="8"/>
        <v>0</v>
      </c>
      <c r="S18" s="9"/>
      <c r="T18" s="9"/>
      <c r="U18" s="9"/>
      <c r="V18" s="9"/>
      <c r="W18" s="9"/>
      <c r="X18" s="9"/>
      <c r="Y18" s="12">
        <f t="shared" si="9"/>
        <v>0</v>
      </c>
      <c r="Z18" s="10">
        <f t="shared" si="10"/>
        <v>12.3</v>
      </c>
      <c r="AA18" s="11">
        <f t="shared" si="11"/>
        <v>0</v>
      </c>
      <c r="AB18" s="12">
        <f t="shared" si="12"/>
        <v>0</v>
      </c>
      <c r="AC18" s="14">
        <f t="shared" si="13"/>
        <v>12.3</v>
      </c>
    </row>
    <row r="19" spans="1:29" x14ac:dyDescent="0.25">
      <c r="A19" s="9">
        <v>18</v>
      </c>
      <c r="B19" s="17" t="s">
        <v>71</v>
      </c>
      <c r="C19" s="16" t="s">
        <v>49</v>
      </c>
      <c r="D19" s="23">
        <v>0.8</v>
      </c>
      <c r="E19" s="9">
        <v>4.3</v>
      </c>
      <c r="F19" s="9">
        <v>8</v>
      </c>
      <c r="G19" s="9"/>
      <c r="H19" s="9"/>
      <c r="I19" s="9"/>
      <c r="J19" s="10">
        <f t="shared" si="7"/>
        <v>12.3</v>
      </c>
      <c r="K19" s="9"/>
      <c r="L19" s="9"/>
      <c r="M19" s="9"/>
      <c r="N19" s="9"/>
      <c r="O19" s="9"/>
      <c r="P19" s="9"/>
      <c r="Q19" s="9"/>
      <c r="R19" s="11">
        <f t="shared" si="8"/>
        <v>0</v>
      </c>
      <c r="S19" s="9"/>
      <c r="T19" s="9"/>
      <c r="U19" s="9"/>
      <c r="V19" s="9"/>
      <c r="W19" s="9"/>
      <c r="X19" s="9"/>
      <c r="Y19" s="12">
        <f t="shared" si="9"/>
        <v>0</v>
      </c>
      <c r="Z19" s="10">
        <f t="shared" si="10"/>
        <v>12.3</v>
      </c>
      <c r="AA19" s="11">
        <f t="shared" si="11"/>
        <v>0</v>
      </c>
      <c r="AB19" s="12">
        <f t="shared" si="12"/>
        <v>0</v>
      </c>
      <c r="AC19" s="14">
        <f t="shared" si="13"/>
        <v>12.3</v>
      </c>
    </row>
    <row r="20" spans="1:29" x14ac:dyDescent="0.25">
      <c r="A20" s="9">
        <v>19</v>
      </c>
      <c r="B20" s="15" t="s">
        <v>72</v>
      </c>
      <c r="C20" s="21" t="s">
        <v>73</v>
      </c>
      <c r="D20" s="23">
        <v>0.1</v>
      </c>
      <c r="E20" s="9">
        <v>4.3</v>
      </c>
      <c r="F20" s="9">
        <v>8</v>
      </c>
      <c r="G20" s="9"/>
      <c r="H20" s="9"/>
      <c r="I20" s="9"/>
      <c r="J20" s="10">
        <f t="shared" si="7"/>
        <v>12.3</v>
      </c>
      <c r="K20" s="9"/>
      <c r="L20" s="9"/>
      <c r="M20" s="9"/>
      <c r="N20" s="9"/>
      <c r="O20" s="9"/>
      <c r="P20" s="9"/>
      <c r="Q20" s="9"/>
      <c r="R20" s="11">
        <f t="shared" si="8"/>
        <v>0</v>
      </c>
      <c r="S20" s="9"/>
      <c r="T20" s="9"/>
      <c r="U20" s="9"/>
      <c r="V20" s="9"/>
      <c r="W20" s="9"/>
      <c r="X20" s="9"/>
      <c r="Y20" s="12">
        <f t="shared" si="9"/>
        <v>0</v>
      </c>
      <c r="Z20" s="10">
        <f t="shared" si="10"/>
        <v>12.3</v>
      </c>
      <c r="AA20" s="11">
        <f t="shared" si="11"/>
        <v>0</v>
      </c>
      <c r="AB20" s="12">
        <f t="shared" si="12"/>
        <v>0</v>
      </c>
      <c r="AC20" s="14">
        <f t="shared" si="13"/>
        <v>12.3</v>
      </c>
    </row>
    <row r="21" spans="1:29" x14ac:dyDescent="0.25">
      <c r="A21" s="9">
        <v>20</v>
      </c>
      <c r="B21" s="15" t="s">
        <v>74</v>
      </c>
      <c r="C21" s="21" t="s">
        <v>75</v>
      </c>
      <c r="D21" s="23">
        <v>0.1</v>
      </c>
      <c r="E21" s="9">
        <v>4.3</v>
      </c>
      <c r="F21" s="9">
        <v>8</v>
      </c>
      <c r="G21" s="9"/>
      <c r="H21" s="9"/>
      <c r="I21" s="9"/>
      <c r="J21" s="10">
        <f t="shared" si="7"/>
        <v>12.3</v>
      </c>
      <c r="K21" s="9"/>
      <c r="L21" s="9"/>
      <c r="M21" s="9"/>
      <c r="N21" s="9"/>
      <c r="O21" s="9"/>
      <c r="P21" s="9"/>
      <c r="Q21" s="9"/>
      <c r="R21" s="11">
        <f t="shared" si="8"/>
        <v>0</v>
      </c>
      <c r="S21" s="9"/>
      <c r="T21" s="9"/>
      <c r="U21" s="9"/>
      <c r="V21" s="9"/>
      <c r="W21" s="9"/>
      <c r="X21" s="9"/>
      <c r="Y21" s="12">
        <f t="shared" si="9"/>
        <v>0</v>
      </c>
      <c r="Z21" s="10">
        <f t="shared" si="10"/>
        <v>12.3</v>
      </c>
      <c r="AA21" s="11">
        <f t="shared" si="11"/>
        <v>0</v>
      </c>
      <c r="AB21" s="12">
        <f t="shared" si="12"/>
        <v>0</v>
      </c>
      <c r="AC21" s="14">
        <f t="shared" si="13"/>
        <v>12.3</v>
      </c>
    </row>
    <row r="22" spans="1:29" x14ac:dyDescent="0.25">
      <c r="A22" s="9">
        <v>21</v>
      </c>
      <c r="B22" s="17" t="s">
        <v>76</v>
      </c>
      <c r="C22" s="16" t="s">
        <v>49</v>
      </c>
      <c r="D22" s="23">
        <v>0.8</v>
      </c>
      <c r="E22" s="9">
        <v>4.3</v>
      </c>
      <c r="F22" s="9">
        <v>8</v>
      </c>
      <c r="G22" s="9"/>
      <c r="H22" s="9"/>
      <c r="I22" s="9"/>
      <c r="J22" s="10">
        <f t="shared" si="7"/>
        <v>12.3</v>
      </c>
      <c r="K22" s="9"/>
      <c r="L22" s="9"/>
      <c r="M22" s="9"/>
      <c r="N22" s="9"/>
      <c r="O22" s="9"/>
      <c r="P22" s="9"/>
      <c r="Q22" s="9"/>
      <c r="R22" s="11">
        <f t="shared" si="8"/>
        <v>0</v>
      </c>
      <c r="S22" s="9"/>
      <c r="T22" s="9"/>
      <c r="U22" s="9"/>
      <c r="V22" s="9"/>
      <c r="W22" s="9"/>
      <c r="X22" s="9"/>
      <c r="Y22" s="12">
        <f t="shared" si="9"/>
        <v>0</v>
      </c>
      <c r="Z22" s="10">
        <f t="shared" si="10"/>
        <v>12.3</v>
      </c>
      <c r="AA22" s="11">
        <f t="shared" si="11"/>
        <v>0</v>
      </c>
      <c r="AB22" s="12">
        <f t="shared" si="12"/>
        <v>0</v>
      </c>
      <c r="AC22" s="14">
        <f t="shared" si="13"/>
        <v>12.3</v>
      </c>
    </row>
    <row r="23" spans="1:29" x14ac:dyDescent="0.25">
      <c r="A23" s="9">
        <v>22</v>
      </c>
      <c r="B23" s="19" t="s">
        <v>77</v>
      </c>
      <c r="C23" s="21" t="s">
        <v>78</v>
      </c>
      <c r="D23" s="23">
        <v>0.3</v>
      </c>
      <c r="E23" s="9">
        <v>4.3</v>
      </c>
      <c r="F23" s="9">
        <v>8</v>
      </c>
      <c r="G23" s="9"/>
      <c r="H23" s="9"/>
      <c r="I23" s="9"/>
      <c r="J23" s="10">
        <f t="shared" si="7"/>
        <v>12.3</v>
      </c>
      <c r="K23" s="9"/>
      <c r="L23" s="9"/>
      <c r="M23" s="9"/>
      <c r="N23" s="9"/>
      <c r="O23" s="9"/>
      <c r="P23" s="9"/>
      <c r="Q23" s="9"/>
      <c r="R23" s="11">
        <f t="shared" si="8"/>
        <v>0</v>
      </c>
      <c r="S23" s="9"/>
      <c r="T23" s="9"/>
      <c r="U23" s="9"/>
      <c r="V23" s="9"/>
      <c r="W23" s="9"/>
      <c r="X23" s="9"/>
      <c r="Y23" s="12">
        <f t="shared" si="9"/>
        <v>0</v>
      </c>
      <c r="Z23" s="10">
        <f t="shared" si="10"/>
        <v>12.3</v>
      </c>
      <c r="AA23" s="11">
        <f t="shared" si="11"/>
        <v>0</v>
      </c>
      <c r="AB23" s="12">
        <f t="shared" si="12"/>
        <v>0</v>
      </c>
      <c r="AC23" s="14">
        <f t="shared" si="13"/>
        <v>12.3</v>
      </c>
    </row>
    <row r="24" spans="1:29" x14ac:dyDescent="0.25">
      <c r="A24" s="9">
        <v>23</v>
      </c>
      <c r="B24" s="15" t="s">
        <v>79</v>
      </c>
      <c r="C24" s="21" t="s">
        <v>78</v>
      </c>
      <c r="D24" s="23">
        <v>0.3</v>
      </c>
      <c r="E24" s="9">
        <v>4.3</v>
      </c>
      <c r="F24" s="9">
        <v>8</v>
      </c>
      <c r="G24" s="9"/>
      <c r="H24" s="9"/>
      <c r="I24" s="9"/>
      <c r="J24" s="10">
        <f t="shared" si="7"/>
        <v>12.3</v>
      </c>
      <c r="K24" s="9"/>
      <c r="L24" s="9"/>
      <c r="M24" s="9"/>
      <c r="N24" s="9"/>
      <c r="O24" s="9"/>
      <c r="P24" s="9"/>
      <c r="Q24" s="9"/>
      <c r="R24" s="11">
        <f t="shared" si="8"/>
        <v>0</v>
      </c>
      <c r="S24" s="9"/>
      <c r="T24" s="9"/>
      <c r="U24" s="9"/>
      <c r="V24" s="9"/>
      <c r="W24" s="9"/>
      <c r="X24" s="9"/>
      <c r="Y24" s="12">
        <f t="shared" si="9"/>
        <v>0</v>
      </c>
      <c r="Z24" s="10">
        <f t="shared" si="10"/>
        <v>12.3</v>
      </c>
      <c r="AA24" s="11">
        <f t="shared" si="11"/>
        <v>0</v>
      </c>
      <c r="AB24" s="12">
        <f t="shared" si="12"/>
        <v>0</v>
      </c>
      <c r="AC24" s="14">
        <f t="shared" si="13"/>
        <v>12.3</v>
      </c>
    </row>
    <row r="25" spans="1:29" x14ac:dyDescent="0.25">
      <c r="A25" s="9">
        <v>24</v>
      </c>
      <c r="B25" s="15" t="s">
        <v>80</v>
      </c>
      <c r="C25" s="16" t="s">
        <v>48</v>
      </c>
      <c r="D25" s="23">
        <v>0.9</v>
      </c>
      <c r="E25" s="9">
        <v>4.3</v>
      </c>
      <c r="F25" s="9">
        <v>8</v>
      </c>
      <c r="G25" s="9"/>
      <c r="H25" s="9"/>
      <c r="I25" s="9"/>
      <c r="J25" s="10">
        <f t="shared" si="7"/>
        <v>12.3</v>
      </c>
      <c r="K25" s="9"/>
      <c r="L25" s="9"/>
      <c r="M25" s="9"/>
      <c r="N25" s="9"/>
      <c r="O25" s="9"/>
      <c r="P25" s="9"/>
      <c r="Q25" s="9"/>
      <c r="R25" s="11">
        <f t="shared" si="8"/>
        <v>0</v>
      </c>
      <c r="S25" s="9"/>
      <c r="T25" s="9"/>
      <c r="U25" s="9"/>
      <c r="V25" s="9"/>
      <c r="W25" s="9"/>
      <c r="X25" s="9"/>
      <c r="Y25" s="12">
        <f t="shared" si="9"/>
        <v>0</v>
      </c>
      <c r="Z25" s="10">
        <f t="shared" si="10"/>
        <v>12.3</v>
      </c>
      <c r="AA25" s="11">
        <f t="shared" si="11"/>
        <v>0</v>
      </c>
      <c r="AB25" s="12">
        <f t="shared" si="12"/>
        <v>0</v>
      </c>
      <c r="AC25" s="14">
        <f t="shared" si="13"/>
        <v>12.3</v>
      </c>
    </row>
    <row r="26" spans="1:29" x14ac:dyDescent="0.25">
      <c r="A26" s="9">
        <v>25</v>
      </c>
      <c r="B26" s="17" t="s">
        <v>81</v>
      </c>
      <c r="C26" s="16" t="s">
        <v>5</v>
      </c>
      <c r="D26" s="23">
        <v>1</v>
      </c>
      <c r="E26" s="9">
        <v>4.3</v>
      </c>
      <c r="F26" s="9">
        <v>8</v>
      </c>
      <c r="G26" s="9"/>
      <c r="H26" s="9"/>
      <c r="I26" s="9"/>
      <c r="J26" s="10">
        <f t="shared" si="7"/>
        <v>12.3</v>
      </c>
      <c r="K26" s="9"/>
      <c r="L26" s="9"/>
      <c r="M26" s="9"/>
      <c r="N26" s="9"/>
      <c r="O26" s="9"/>
      <c r="P26" s="9"/>
      <c r="Q26" s="9"/>
      <c r="R26" s="11">
        <f t="shared" si="8"/>
        <v>0</v>
      </c>
      <c r="S26" s="9"/>
      <c r="T26" s="9"/>
      <c r="U26" s="9"/>
      <c r="V26" s="9"/>
      <c r="W26" s="9"/>
      <c r="X26" s="9"/>
      <c r="Y26" s="12">
        <f t="shared" si="9"/>
        <v>0</v>
      </c>
      <c r="Z26" s="10">
        <f t="shared" si="10"/>
        <v>12.3</v>
      </c>
      <c r="AA26" s="11">
        <f t="shared" si="11"/>
        <v>0</v>
      </c>
      <c r="AB26" s="12">
        <f t="shared" si="12"/>
        <v>0</v>
      </c>
      <c r="AC26" s="14">
        <f t="shared" si="13"/>
        <v>12.3</v>
      </c>
    </row>
    <row r="27" spans="1:29" x14ac:dyDescent="0.25">
      <c r="A27" s="9">
        <v>26</v>
      </c>
      <c r="B27" s="17" t="s">
        <v>82</v>
      </c>
      <c r="C27" s="16" t="s">
        <v>47</v>
      </c>
      <c r="D27" s="23">
        <v>0.9</v>
      </c>
      <c r="E27" s="9">
        <v>4.3</v>
      </c>
      <c r="F27" s="9">
        <v>8</v>
      </c>
      <c r="G27" s="9"/>
      <c r="H27" s="9"/>
      <c r="I27" s="9"/>
      <c r="J27" s="10">
        <f t="shared" si="7"/>
        <v>12.3</v>
      </c>
      <c r="K27" s="9"/>
      <c r="L27" s="9"/>
      <c r="M27" s="9"/>
      <c r="N27" s="9"/>
      <c r="O27" s="9"/>
      <c r="P27" s="9"/>
      <c r="Q27" s="9"/>
      <c r="R27" s="11">
        <f t="shared" si="8"/>
        <v>0</v>
      </c>
      <c r="S27" s="9"/>
      <c r="T27" s="9"/>
      <c r="U27" s="9"/>
      <c r="V27" s="9"/>
      <c r="W27" s="9"/>
      <c r="X27" s="9"/>
      <c r="Y27" s="12">
        <f t="shared" si="9"/>
        <v>0</v>
      </c>
      <c r="Z27" s="10">
        <f t="shared" si="10"/>
        <v>12.3</v>
      </c>
      <c r="AA27" s="11">
        <f t="shared" si="11"/>
        <v>0</v>
      </c>
      <c r="AB27" s="12">
        <f t="shared" si="12"/>
        <v>0</v>
      </c>
      <c r="AC27" s="14">
        <f t="shared" si="13"/>
        <v>12.3</v>
      </c>
    </row>
    <row r="28" spans="1:29" x14ac:dyDescent="0.25">
      <c r="A28" s="9">
        <v>27</v>
      </c>
      <c r="B28" s="15" t="s">
        <v>83</v>
      </c>
      <c r="C28" s="16" t="s">
        <v>46</v>
      </c>
      <c r="D28" s="23">
        <v>1.2</v>
      </c>
      <c r="E28" s="9">
        <v>4.3</v>
      </c>
      <c r="F28" s="9">
        <v>8</v>
      </c>
      <c r="G28" s="9"/>
      <c r="H28" s="9"/>
      <c r="I28" s="9"/>
      <c r="J28" s="10">
        <f t="shared" si="7"/>
        <v>12.3</v>
      </c>
      <c r="K28" s="9"/>
      <c r="L28" s="9"/>
      <c r="M28" s="9"/>
      <c r="N28" s="9"/>
      <c r="O28" s="9"/>
      <c r="P28" s="9"/>
      <c r="Q28" s="9"/>
      <c r="R28" s="11">
        <f t="shared" si="8"/>
        <v>0</v>
      </c>
      <c r="S28" s="9"/>
      <c r="T28" s="9"/>
      <c r="U28" s="9"/>
      <c r="V28" s="9"/>
      <c r="W28" s="9"/>
      <c r="X28" s="9"/>
      <c r="Y28" s="12">
        <f t="shared" si="9"/>
        <v>0</v>
      </c>
      <c r="Z28" s="10">
        <f t="shared" si="10"/>
        <v>12.3</v>
      </c>
      <c r="AA28" s="11">
        <f t="shared" si="11"/>
        <v>0</v>
      </c>
      <c r="AB28" s="12">
        <f t="shared" si="12"/>
        <v>0</v>
      </c>
      <c r="AC28" s="14">
        <f t="shared" si="13"/>
        <v>12.3</v>
      </c>
    </row>
    <row r="29" spans="1:29" x14ac:dyDescent="0.25">
      <c r="A29" s="9">
        <v>28</v>
      </c>
      <c r="B29" s="17" t="s">
        <v>84</v>
      </c>
      <c r="C29" s="16" t="s">
        <v>52</v>
      </c>
      <c r="D29" s="23">
        <v>0.7</v>
      </c>
      <c r="E29" s="9">
        <v>4.3</v>
      </c>
      <c r="F29" s="9">
        <v>8</v>
      </c>
      <c r="G29" s="9"/>
      <c r="H29" s="9"/>
      <c r="I29" s="9"/>
      <c r="J29" s="10">
        <f t="shared" si="7"/>
        <v>12.3</v>
      </c>
      <c r="K29" s="9"/>
      <c r="L29" s="9"/>
      <c r="M29" s="9"/>
      <c r="N29" s="9"/>
      <c r="O29" s="9"/>
      <c r="P29" s="9"/>
      <c r="Q29" s="9"/>
      <c r="R29" s="11">
        <f t="shared" si="8"/>
        <v>0</v>
      </c>
      <c r="S29" s="9"/>
      <c r="T29" s="9"/>
      <c r="U29" s="9"/>
      <c r="V29" s="9"/>
      <c r="W29" s="9"/>
      <c r="X29" s="9"/>
      <c r="Y29" s="12">
        <f t="shared" si="9"/>
        <v>0</v>
      </c>
      <c r="Z29" s="10">
        <f t="shared" si="10"/>
        <v>12.3</v>
      </c>
      <c r="AA29" s="11">
        <f t="shared" si="11"/>
        <v>0</v>
      </c>
      <c r="AB29" s="12">
        <f t="shared" si="12"/>
        <v>0</v>
      </c>
      <c r="AC29" s="14">
        <f t="shared" si="13"/>
        <v>12.3</v>
      </c>
    </row>
    <row r="30" spans="1:29" x14ac:dyDescent="0.25">
      <c r="A30" s="9">
        <v>29</v>
      </c>
      <c r="B30" s="15" t="s">
        <v>85</v>
      </c>
      <c r="C30" s="21" t="s">
        <v>86</v>
      </c>
      <c r="D30" s="23">
        <v>1.2</v>
      </c>
      <c r="E30" s="9">
        <v>4.3</v>
      </c>
      <c r="F30" s="9">
        <v>8</v>
      </c>
      <c r="G30" s="9"/>
      <c r="H30" s="9"/>
      <c r="I30" s="9"/>
      <c r="J30" s="10">
        <f t="shared" si="7"/>
        <v>12.3</v>
      </c>
      <c r="K30" s="9"/>
      <c r="L30" s="9"/>
      <c r="M30" s="9"/>
      <c r="N30" s="9"/>
      <c r="O30" s="9"/>
      <c r="P30" s="9"/>
      <c r="Q30" s="9"/>
      <c r="R30" s="11">
        <f t="shared" si="8"/>
        <v>0</v>
      </c>
      <c r="S30" s="9"/>
      <c r="T30" s="9"/>
      <c r="U30" s="9"/>
      <c r="V30" s="9"/>
      <c r="W30" s="9"/>
      <c r="X30" s="9"/>
      <c r="Y30" s="12">
        <f t="shared" si="9"/>
        <v>0</v>
      </c>
      <c r="Z30" s="10">
        <f t="shared" si="10"/>
        <v>12.3</v>
      </c>
      <c r="AA30" s="11">
        <f t="shared" si="11"/>
        <v>0</v>
      </c>
      <c r="AB30" s="12">
        <f t="shared" si="12"/>
        <v>0</v>
      </c>
      <c r="AC30" s="14">
        <f t="shared" si="13"/>
        <v>12.3</v>
      </c>
    </row>
    <row r="31" spans="1:29" x14ac:dyDescent="0.25">
      <c r="A31" s="9">
        <v>30</v>
      </c>
      <c r="B31" s="15" t="s">
        <v>87</v>
      </c>
      <c r="C31" s="16" t="s">
        <v>5</v>
      </c>
      <c r="D31" s="23">
        <v>1</v>
      </c>
      <c r="E31" s="9">
        <v>4.3</v>
      </c>
      <c r="F31" s="9">
        <v>8</v>
      </c>
      <c r="G31" s="9"/>
      <c r="H31" s="9"/>
      <c r="I31" s="9"/>
      <c r="J31" s="10">
        <f t="shared" si="7"/>
        <v>12.3</v>
      </c>
      <c r="K31" s="9"/>
      <c r="L31" s="9"/>
      <c r="M31" s="9"/>
      <c r="N31" s="9"/>
      <c r="O31" s="9"/>
      <c r="P31" s="9"/>
      <c r="Q31" s="9"/>
      <c r="R31" s="11">
        <f t="shared" si="8"/>
        <v>0</v>
      </c>
      <c r="S31" s="9"/>
      <c r="T31" s="9"/>
      <c r="U31" s="9"/>
      <c r="V31" s="9"/>
      <c r="W31" s="9"/>
      <c r="X31" s="9"/>
      <c r="Y31" s="12">
        <f t="shared" si="9"/>
        <v>0</v>
      </c>
      <c r="Z31" s="10">
        <f t="shared" si="10"/>
        <v>12.3</v>
      </c>
      <c r="AA31" s="11">
        <f t="shared" si="11"/>
        <v>0</v>
      </c>
      <c r="AB31" s="12">
        <f t="shared" si="12"/>
        <v>0</v>
      </c>
      <c r="AC31" s="14">
        <f t="shared" si="13"/>
        <v>12.3</v>
      </c>
    </row>
    <row r="32" spans="1:29" x14ac:dyDescent="0.25">
      <c r="A32" s="9">
        <v>31</v>
      </c>
      <c r="B32" s="15" t="s">
        <v>88</v>
      </c>
      <c r="C32" s="16" t="s">
        <v>89</v>
      </c>
      <c r="D32" s="23">
        <v>0.1</v>
      </c>
      <c r="E32" s="9">
        <v>4.3</v>
      </c>
      <c r="F32" s="9">
        <v>8</v>
      </c>
      <c r="G32" s="9"/>
      <c r="H32" s="9"/>
      <c r="I32" s="9"/>
      <c r="J32" s="10">
        <f t="shared" si="7"/>
        <v>12.3</v>
      </c>
      <c r="K32" s="9"/>
      <c r="L32" s="9"/>
      <c r="M32" s="9"/>
      <c r="N32" s="9"/>
      <c r="O32" s="9"/>
      <c r="P32" s="9"/>
      <c r="Q32" s="9"/>
      <c r="R32" s="11">
        <f t="shared" si="8"/>
        <v>0</v>
      </c>
      <c r="S32" s="9"/>
      <c r="T32" s="9"/>
      <c r="U32" s="9"/>
      <c r="V32" s="9"/>
      <c r="W32" s="9"/>
      <c r="X32" s="9"/>
      <c r="Y32" s="12">
        <f t="shared" si="9"/>
        <v>0</v>
      </c>
      <c r="Z32" s="10">
        <f t="shared" si="10"/>
        <v>12.3</v>
      </c>
      <c r="AA32" s="11">
        <f t="shared" si="11"/>
        <v>0</v>
      </c>
      <c r="AB32" s="12">
        <f t="shared" si="12"/>
        <v>0</v>
      </c>
      <c r="AC32" s="14">
        <f t="shared" si="13"/>
        <v>12.3</v>
      </c>
    </row>
    <row r="33" spans="1:29" x14ac:dyDescent="0.25">
      <c r="A33" s="9">
        <v>32</v>
      </c>
      <c r="B33" s="15" t="s">
        <v>90</v>
      </c>
      <c r="C33" s="16" t="s">
        <v>5</v>
      </c>
      <c r="D33" s="23">
        <v>1</v>
      </c>
      <c r="E33" s="9">
        <v>4.3</v>
      </c>
      <c r="F33" s="9">
        <v>8</v>
      </c>
      <c r="G33" s="9"/>
      <c r="H33" s="9"/>
      <c r="I33" s="9"/>
      <c r="J33" s="10">
        <f t="shared" si="7"/>
        <v>12.3</v>
      </c>
      <c r="K33" s="9"/>
      <c r="L33" s="9"/>
      <c r="M33" s="9"/>
      <c r="N33" s="9"/>
      <c r="O33" s="9"/>
      <c r="P33" s="9"/>
      <c r="Q33" s="9"/>
      <c r="R33" s="11">
        <f t="shared" si="8"/>
        <v>0</v>
      </c>
      <c r="S33" s="9"/>
      <c r="T33" s="9"/>
      <c r="U33" s="9"/>
      <c r="V33" s="9"/>
      <c r="W33" s="9"/>
      <c r="X33" s="9"/>
      <c r="Y33" s="12">
        <f t="shared" si="9"/>
        <v>0</v>
      </c>
      <c r="Z33" s="10">
        <f t="shared" si="10"/>
        <v>12.3</v>
      </c>
      <c r="AA33" s="11">
        <f t="shared" si="11"/>
        <v>0</v>
      </c>
      <c r="AB33" s="12">
        <f t="shared" si="12"/>
        <v>0</v>
      </c>
      <c r="AC33" s="14">
        <f t="shared" si="13"/>
        <v>12.3</v>
      </c>
    </row>
    <row r="34" spans="1:29" x14ac:dyDescent="0.25">
      <c r="A34" s="9">
        <v>33</v>
      </c>
      <c r="B34" s="15" t="s">
        <v>91</v>
      </c>
      <c r="C34" s="21" t="s">
        <v>73</v>
      </c>
      <c r="D34" s="23">
        <v>0.1</v>
      </c>
      <c r="E34" s="9">
        <v>4.3</v>
      </c>
      <c r="F34" s="9">
        <v>8</v>
      </c>
      <c r="G34" s="9"/>
      <c r="H34" s="9"/>
      <c r="I34" s="9"/>
      <c r="J34" s="10">
        <f t="shared" si="7"/>
        <v>12.3</v>
      </c>
      <c r="K34" s="9"/>
      <c r="L34" s="9"/>
      <c r="M34" s="9"/>
      <c r="N34" s="9"/>
      <c r="O34" s="9"/>
      <c r="P34" s="9"/>
      <c r="Q34" s="9"/>
      <c r="R34" s="11">
        <f t="shared" si="8"/>
        <v>0</v>
      </c>
      <c r="S34" s="9"/>
      <c r="T34" s="9"/>
      <c r="U34" s="9"/>
      <c r="V34" s="9"/>
      <c r="W34" s="9"/>
      <c r="X34" s="9"/>
      <c r="Y34" s="12">
        <f t="shared" si="9"/>
        <v>0</v>
      </c>
      <c r="Z34" s="10">
        <f t="shared" si="10"/>
        <v>12.3</v>
      </c>
      <c r="AA34" s="11">
        <f t="shared" si="11"/>
        <v>0</v>
      </c>
      <c r="AB34" s="12">
        <f t="shared" si="12"/>
        <v>0</v>
      </c>
      <c r="AC34" s="14">
        <f t="shared" si="13"/>
        <v>12.3</v>
      </c>
    </row>
    <row r="35" spans="1:29" x14ac:dyDescent="0.25">
      <c r="A35" s="9">
        <v>34</v>
      </c>
      <c r="B35" s="15" t="s">
        <v>92</v>
      </c>
      <c r="C35" s="16" t="s">
        <v>48</v>
      </c>
      <c r="D35" s="23">
        <v>0.9</v>
      </c>
      <c r="E35" s="9">
        <v>4.3</v>
      </c>
      <c r="F35" s="9">
        <v>8</v>
      </c>
      <c r="G35" s="9"/>
      <c r="H35" s="9"/>
      <c r="I35" s="9"/>
      <c r="J35" s="10">
        <f t="shared" si="7"/>
        <v>12.3</v>
      </c>
      <c r="K35" s="9"/>
      <c r="L35" s="9"/>
      <c r="M35" s="9"/>
      <c r="N35" s="9"/>
      <c r="O35" s="9"/>
      <c r="P35" s="9"/>
      <c r="Q35" s="9"/>
      <c r="R35" s="11">
        <f t="shared" si="8"/>
        <v>0</v>
      </c>
      <c r="S35" s="9"/>
      <c r="T35" s="9"/>
      <c r="U35" s="9"/>
      <c r="V35" s="9"/>
      <c r="W35" s="9"/>
      <c r="X35" s="9"/>
      <c r="Y35" s="12">
        <f t="shared" si="9"/>
        <v>0</v>
      </c>
      <c r="Z35" s="10">
        <f t="shared" si="10"/>
        <v>12.3</v>
      </c>
      <c r="AA35" s="11">
        <f t="shared" si="11"/>
        <v>0</v>
      </c>
      <c r="AB35" s="12">
        <f t="shared" si="12"/>
        <v>0</v>
      </c>
      <c r="AC35" s="14">
        <f t="shared" si="13"/>
        <v>12.3</v>
      </c>
    </row>
    <row r="36" spans="1:29" x14ac:dyDescent="0.25">
      <c r="A36" s="9">
        <v>35</v>
      </c>
      <c r="B36" s="15" t="s">
        <v>93</v>
      </c>
      <c r="C36" s="16" t="s">
        <v>5</v>
      </c>
      <c r="D36" s="23">
        <v>1</v>
      </c>
      <c r="E36" s="9">
        <v>4.3</v>
      </c>
      <c r="F36" s="9">
        <v>8</v>
      </c>
      <c r="G36" s="9"/>
      <c r="H36" s="9"/>
      <c r="I36" s="9"/>
      <c r="J36" s="10">
        <f t="shared" si="7"/>
        <v>12.3</v>
      </c>
      <c r="K36" s="9"/>
      <c r="L36" s="9"/>
      <c r="M36" s="9"/>
      <c r="N36" s="9"/>
      <c r="O36" s="9"/>
      <c r="P36" s="9"/>
      <c r="Q36" s="9"/>
      <c r="R36" s="11">
        <f t="shared" si="8"/>
        <v>0</v>
      </c>
      <c r="S36" s="9"/>
      <c r="T36" s="9"/>
      <c r="U36" s="9"/>
      <c r="V36" s="9"/>
      <c r="W36" s="9"/>
      <c r="X36" s="9"/>
      <c r="Y36" s="12">
        <f t="shared" si="9"/>
        <v>0</v>
      </c>
      <c r="Z36" s="10">
        <f t="shared" si="10"/>
        <v>12.3</v>
      </c>
      <c r="AA36" s="11">
        <f t="shared" si="11"/>
        <v>0</v>
      </c>
      <c r="AB36" s="12">
        <f t="shared" si="12"/>
        <v>0</v>
      </c>
      <c r="AC36" s="14">
        <f t="shared" si="13"/>
        <v>12.3</v>
      </c>
    </row>
    <row r="37" spans="1:29" x14ac:dyDescent="0.25">
      <c r="A37" s="9">
        <v>36</v>
      </c>
      <c r="B37" s="15" t="s">
        <v>94</v>
      </c>
      <c r="C37" s="21" t="s">
        <v>95</v>
      </c>
      <c r="D37" s="23">
        <v>0.1</v>
      </c>
      <c r="E37" s="9">
        <v>4.3</v>
      </c>
      <c r="F37" s="9">
        <v>8</v>
      </c>
      <c r="G37" s="9"/>
      <c r="H37" s="9"/>
      <c r="I37" s="9"/>
      <c r="J37" s="10">
        <f t="shared" si="7"/>
        <v>12.3</v>
      </c>
      <c r="K37" s="9"/>
      <c r="L37" s="9"/>
      <c r="M37" s="9"/>
      <c r="N37" s="9"/>
      <c r="O37" s="9"/>
      <c r="P37" s="9"/>
      <c r="Q37" s="9"/>
      <c r="R37" s="11">
        <f t="shared" si="8"/>
        <v>0</v>
      </c>
      <c r="S37" s="9"/>
      <c r="T37" s="9"/>
      <c r="U37" s="9"/>
      <c r="V37" s="9"/>
      <c r="W37" s="9"/>
      <c r="X37" s="9"/>
      <c r="Y37" s="12">
        <f t="shared" si="9"/>
        <v>0</v>
      </c>
      <c r="Z37" s="10">
        <f t="shared" si="10"/>
        <v>12.3</v>
      </c>
      <c r="AA37" s="11">
        <f t="shared" si="11"/>
        <v>0</v>
      </c>
      <c r="AB37" s="12">
        <f t="shared" si="12"/>
        <v>0</v>
      </c>
      <c r="AC37" s="14">
        <f t="shared" si="13"/>
        <v>12.3</v>
      </c>
    </row>
    <row r="38" spans="1:29" x14ac:dyDescent="0.25">
      <c r="A38" s="9">
        <v>37</v>
      </c>
      <c r="B38" s="15" t="s">
        <v>96</v>
      </c>
      <c r="C38" s="21" t="s">
        <v>97</v>
      </c>
      <c r="D38" s="23">
        <v>0.1</v>
      </c>
      <c r="E38" s="9">
        <v>4.3</v>
      </c>
      <c r="F38" s="9">
        <v>8</v>
      </c>
      <c r="G38" s="9"/>
      <c r="H38" s="9"/>
      <c r="I38" s="9"/>
      <c r="J38" s="10">
        <f t="shared" si="7"/>
        <v>12.3</v>
      </c>
      <c r="K38" s="9"/>
      <c r="L38" s="9"/>
      <c r="M38" s="9"/>
      <c r="N38" s="9"/>
      <c r="O38" s="9"/>
      <c r="P38" s="9"/>
      <c r="Q38" s="9"/>
      <c r="R38" s="11">
        <f t="shared" si="8"/>
        <v>0</v>
      </c>
      <c r="S38" s="9"/>
      <c r="T38" s="9"/>
      <c r="U38" s="9"/>
      <c r="V38" s="9"/>
      <c r="W38" s="9"/>
      <c r="X38" s="9"/>
      <c r="Y38" s="12">
        <f t="shared" si="9"/>
        <v>0</v>
      </c>
      <c r="Z38" s="10">
        <f t="shared" si="10"/>
        <v>12.3</v>
      </c>
      <c r="AA38" s="11">
        <f t="shared" si="11"/>
        <v>0</v>
      </c>
      <c r="AB38" s="12">
        <f t="shared" si="12"/>
        <v>0</v>
      </c>
      <c r="AC38" s="14">
        <f t="shared" si="13"/>
        <v>12.3</v>
      </c>
    </row>
    <row r="39" spans="1:29" x14ac:dyDescent="0.25">
      <c r="B39" s="15" t="s">
        <v>98</v>
      </c>
      <c r="C39" s="21" t="s">
        <v>99</v>
      </c>
      <c r="D39" s="23">
        <v>0.7</v>
      </c>
      <c r="E39" s="9">
        <v>4.3</v>
      </c>
      <c r="F39" s="9">
        <v>8</v>
      </c>
      <c r="G39" s="9"/>
      <c r="H39" s="9"/>
      <c r="I39" s="9"/>
      <c r="J39" s="10">
        <f t="shared" si="7"/>
        <v>12.3</v>
      </c>
      <c r="K39" s="9"/>
      <c r="L39" s="9"/>
      <c r="M39" s="9"/>
      <c r="N39" s="9"/>
      <c r="O39" s="9"/>
      <c r="P39" s="9"/>
      <c r="Q39" s="9"/>
      <c r="R39" s="11">
        <f t="shared" si="8"/>
        <v>0</v>
      </c>
      <c r="S39" s="9"/>
      <c r="T39" s="9"/>
      <c r="U39" s="9"/>
      <c r="V39" s="9"/>
      <c r="W39" s="9"/>
      <c r="X39" s="9"/>
      <c r="Y39" s="12">
        <f t="shared" si="9"/>
        <v>0</v>
      </c>
      <c r="Z39" s="10">
        <f t="shared" si="10"/>
        <v>12.3</v>
      </c>
      <c r="AA39" s="11">
        <f t="shared" si="11"/>
        <v>0</v>
      </c>
      <c r="AB39" s="12">
        <f t="shared" si="12"/>
        <v>0</v>
      </c>
      <c r="AC39" s="14">
        <f t="shared" si="13"/>
        <v>12.3</v>
      </c>
    </row>
    <row r="40" spans="1:29" x14ac:dyDescent="0.25">
      <c r="B40" s="15" t="s">
        <v>100</v>
      </c>
      <c r="C40" s="21" t="s">
        <v>86</v>
      </c>
      <c r="D40" s="23">
        <v>1.2</v>
      </c>
      <c r="E40" s="9">
        <v>4.3</v>
      </c>
      <c r="F40" s="9">
        <v>8</v>
      </c>
      <c r="G40" s="9"/>
      <c r="H40" s="9"/>
      <c r="I40" s="9"/>
      <c r="J40" s="10">
        <f t="shared" si="7"/>
        <v>12.3</v>
      </c>
      <c r="K40" s="9"/>
      <c r="L40" s="9"/>
      <c r="M40" s="9"/>
      <c r="N40" s="9"/>
      <c r="O40" s="9"/>
      <c r="P40" s="9"/>
      <c r="Q40" s="9"/>
      <c r="R40" s="11">
        <f t="shared" si="8"/>
        <v>0</v>
      </c>
      <c r="S40" s="9"/>
      <c r="T40" s="9"/>
      <c r="U40" s="9"/>
      <c r="V40" s="9"/>
      <c r="W40" s="9"/>
      <c r="X40" s="9"/>
      <c r="Y40" s="12">
        <f t="shared" si="9"/>
        <v>0</v>
      </c>
      <c r="Z40" s="10">
        <f t="shared" si="10"/>
        <v>12.3</v>
      </c>
      <c r="AA40" s="11">
        <f t="shared" si="11"/>
        <v>0</v>
      </c>
      <c r="AB40" s="12">
        <f t="shared" si="12"/>
        <v>0</v>
      </c>
      <c r="AC40" s="14">
        <f t="shared" si="13"/>
        <v>12.3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Predmet</vt:lpstr>
      <vt:lpstr>Kl ruk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Acer</cp:lastModifiedBy>
  <dcterms:created xsi:type="dcterms:W3CDTF">2026-05-29T04:54:21Z</dcterms:created>
  <dcterms:modified xsi:type="dcterms:W3CDTF">2026-09-08T16:18:41Z</dcterms:modified>
</cp:coreProperties>
</file>