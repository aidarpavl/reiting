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Загрузки\"/>
    </mc:Choice>
  </mc:AlternateContent>
  <xr:revisionPtr revIDLastSave="0" documentId="13_ncr:1_{0816871E-D483-444F-BC93-4A3565ACD88E}" xr6:coauthVersionLast="47" xr6:coauthVersionMax="47" xr10:uidLastSave="{00000000-0000-0000-0000-000000000000}"/>
  <bookViews>
    <workbookView xWindow="4125" yWindow="225" windowWidth="16365" windowHeight="10695" activeTab="3" xr2:uid="{65B562F7-4CCD-46A4-AA6C-D53DA83FA9FC}"/>
  </bookViews>
  <sheets>
    <sheet name="Predmet" sheetId="1" r:id="rId1"/>
    <sheet name="Kl ruk" sheetId="2" r:id="rId2"/>
    <sheet name="Deti" sheetId="3" r:id="rId3"/>
    <sheet name="5A" sheetId="4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19" i="4" l="1"/>
  <c r="C211" i="4"/>
  <c r="C202" i="4"/>
  <c r="C194" i="4"/>
  <c r="C186" i="4"/>
  <c r="C178" i="4"/>
  <c r="C170" i="4"/>
  <c r="C162" i="4"/>
  <c r="C154" i="4"/>
  <c r="C146" i="4"/>
  <c r="C138" i="4"/>
  <c r="C130" i="4"/>
  <c r="C122" i="4"/>
  <c r="C114" i="4"/>
  <c r="C106" i="4"/>
  <c r="C98" i="4"/>
  <c r="C90" i="4"/>
  <c r="C82" i="4"/>
  <c r="C74" i="4"/>
  <c r="C66" i="4"/>
  <c r="C58" i="4"/>
  <c r="C50" i="4"/>
  <c r="C42" i="4"/>
  <c r="C18" i="4"/>
  <c r="C34" i="4"/>
  <c r="C26" i="4"/>
  <c r="Q18" i="4"/>
  <c r="Q17" i="4"/>
  <c r="P18" i="4"/>
  <c r="O218" i="4"/>
  <c r="O207" i="4"/>
  <c r="O201" i="4"/>
  <c r="O197" i="4"/>
  <c r="O177" i="4"/>
  <c r="O175" i="4"/>
  <c r="O174" i="4"/>
  <c r="O169" i="4"/>
  <c r="O165" i="4"/>
  <c r="O149" i="4"/>
  <c r="O148" i="4"/>
  <c r="O143" i="4"/>
  <c r="O121" i="4"/>
  <c r="O117" i="4"/>
  <c r="O111" i="4"/>
  <c r="O89" i="4"/>
  <c r="O85" i="4"/>
  <c r="O79" i="4"/>
  <c r="O57" i="4"/>
  <c r="O53" i="4"/>
  <c r="O47" i="4"/>
  <c r="O41" i="4"/>
  <c r="O36" i="4"/>
  <c r="N26" i="4"/>
  <c r="P26" i="4" s="1"/>
  <c r="N211" i="4"/>
  <c r="P211" i="4" s="1"/>
  <c r="N202" i="4"/>
  <c r="P202" i="4" s="1"/>
  <c r="N194" i="4"/>
  <c r="P194" i="4" s="1"/>
  <c r="N186" i="4"/>
  <c r="P186" i="4" s="1"/>
  <c r="N178" i="4"/>
  <c r="P178" i="4" s="1"/>
  <c r="N170" i="4"/>
  <c r="P170" i="4" s="1"/>
  <c r="N162" i="4"/>
  <c r="P162" i="4" s="1"/>
  <c r="N154" i="4"/>
  <c r="P154" i="4" s="1"/>
  <c r="N146" i="4"/>
  <c r="P146" i="4" s="1"/>
  <c r="N138" i="4"/>
  <c r="P138" i="4" s="1"/>
  <c r="N130" i="4"/>
  <c r="P130" i="4" s="1"/>
  <c r="N122" i="4"/>
  <c r="P122" i="4" s="1"/>
  <c r="N114" i="4"/>
  <c r="P114" i="4" s="1"/>
  <c r="N106" i="4"/>
  <c r="P106" i="4" s="1"/>
  <c r="N98" i="4"/>
  <c r="P98" i="4" s="1"/>
  <c r="N90" i="4"/>
  <c r="P90" i="4" s="1"/>
  <c r="N82" i="4"/>
  <c r="P82" i="4" s="1"/>
  <c r="N74" i="4"/>
  <c r="P74" i="4" s="1"/>
  <c r="N66" i="4"/>
  <c r="P66" i="4" s="1"/>
  <c r="N58" i="4"/>
  <c r="P58" i="4" s="1"/>
  <c r="N50" i="4"/>
  <c r="P50" i="4" s="1"/>
  <c r="N42" i="4"/>
  <c r="P42" i="4" s="1"/>
  <c r="N34" i="4"/>
  <c r="P34" i="4" s="1"/>
  <c r="N216" i="4"/>
  <c r="N219" i="4" s="1"/>
  <c r="P219" i="4" s="1"/>
  <c r="N215" i="4"/>
  <c r="O215" i="4" s="1"/>
  <c r="N214" i="4"/>
  <c r="O214" i="4" s="1"/>
  <c r="N213" i="4"/>
  <c r="Q216" i="4" s="1"/>
  <c r="N212" i="4"/>
  <c r="N209" i="4"/>
  <c r="O209" i="4" s="1"/>
  <c r="N208" i="4"/>
  <c r="O208" i="4" s="1"/>
  <c r="N207" i="4"/>
  <c r="N206" i="4"/>
  <c r="O206" i="4" s="1"/>
  <c r="N205" i="4"/>
  <c r="O205" i="4" s="1"/>
  <c r="N204" i="4"/>
  <c r="Q207" i="4" s="1"/>
  <c r="N203" i="4"/>
  <c r="N201" i="4"/>
  <c r="N200" i="4"/>
  <c r="O200" i="4" s="1"/>
  <c r="N199" i="4"/>
  <c r="O199" i="4" s="1"/>
  <c r="N198" i="4"/>
  <c r="O198" i="4" s="1"/>
  <c r="N197" i="4"/>
  <c r="N196" i="4"/>
  <c r="N195" i="4"/>
  <c r="N193" i="4"/>
  <c r="O193" i="4" s="1"/>
  <c r="N192" i="4"/>
  <c r="O192" i="4" s="1"/>
  <c r="N191" i="4"/>
  <c r="N190" i="4"/>
  <c r="Q191" i="4" s="1"/>
  <c r="N189" i="4"/>
  <c r="O189" i="4" s="1"/>
  <c r="N188" i="4"/>
  <c r="O188" i="4" s="1"/>
  <c r="N187" i="4"/>
  <c r="N185" i="4"/>
  <c r="O185" i="4" s="1"/>
  <c r="N184" i="4"/>
  <c r="O184" i="4" s="1"/>
  <c r="N183" i="4"/>
  <c r="O183" i="4" s="1"/>
  <c r="N182" i="4"/>
  <c r="O182" i="4" s="1"/>
  <c r="N181" i="4"/>
  <c r="O181" i="4" s="1"/>
  <c r="N180" i="4"/>
  <c r="N179" i="4"/>
  <c r="N175" i="4"/>
  <c r="O176" i="4" s="1"/>
  <c r="N172" i="4"/>
  <c r="Q175" i="4" s="1"/>
  <c r="N171" i="4"/>
  <c r="N169" i="4"/>
  <c r="N168" i="4"/>
  <c r="O168" i="4" s="1"/>
  <c r="N167" i="4"/>
  <c r="O167" i="4" s="1"/>
  <c r="N166" i="4"/>
  <c r="O166" i="4" s="1"/>
  <c r="N165" i="4"/>
  <c r="N164" i="4"/>
  <c r="O164" i="4" s="1"/>
  <c r="N163" i="4"/>
  <c r="N161" i="4"/>
  <c r="O161" i="4" s="1"/>
  <c r="N160" i="4"/>
  <c r="O160" i="4" s="1"/>
  <c r="N159" i="4"/>
  <c r="N158" i="4"/>
  <c r="Q159" i="4" s="1"/>
  <c r="N157" i="4"/>
  <c r="O157" i="4" s="1"/>
  <c r="N156" i="4"/>
  <c r="O156" i="4" s="1"/>
  <c r="N155" i="4"/>
  <c r="N153" i="4"/>
  <c r="O153" i="4" s="1"/>
  <c r="N152" i="4"/>
  <c r="O152" i="4" s="1"/>
  <c r="N151" i="4"/>
  <c r="O151" i="4" s="1"/>
  <c r="N150" i="4"/>
  <c r="Q151" i="4" s="1"/>
  <c r="N145" i="4"/>
  <c r="O145" i="4" s="1"/>
  <c r="N144" i="4"/>
  <c r="O144" i="4" s="1"/>
  <c r="N143" i="4"/>
  <c r="N142" i="4"/>
  <c r="O142" i="4" s="1"/>
  <c r="N141" i="4"/>
  <c r="O141" i="4" s="1"/>
  <c r="N140" i="4"/>
  <c r="O140" i="4" s="1"/>
  <c r="N139" i="4"/>
  <c r="N137" i="4"/>
  <c r="N136" i="4"/>
  <c r="O136" i="4" s="1"/>
  <c r="N135" i="4"/>
  <c r="O135" i="4" s="1"/>
  <c r="N134" i="4"/>
  <c r="O134" i="4" s="1"/>
  <c r="N133" i="4"/>
  <c r="N132" i="4"/>
  <c r="Q135" i="4" s="1"/>
  <c r="N131" i="4"/>
  <c r="N129" i="4"/>
  <c r="O129" i="4" s="1"/>
  <c r="N128" i="4"/>
  <c r="O128" i="4" s="1"/>
  <c r="N127" i="4"/>
  <c r="O127" i="4" s="1"/>
  <c r="N126" i="4"/>
  <c r="O126" i="4" s="1"/>
  <c r="N125" i="4"/>
  <c r="O125" i="4" s="1"/>
  <c r="N124" i="4"/>
  <c r="O124" i="4" s="1"/>
  <c r="N123" i="4"/>
  <c r="Q127" i="4" s="1"/>
  <c r="N121" i="4"/>
  <c r="N120" i="4"/>
  <c r="O120" i="4" s="1"/>
  <c r="N119" i="4"/>
  <c r="O119" i="4" s="1"/>
  <c r="N118" i="4"/>
  <c r="O118" i="4" s="1"/>
  <c r="N117" i="4"/>
  <c r="N116" i="4"/>
  <c r="N115" i="4"/>
  <c r="N113" i="4"/>
  <c r="O113" i="4" s="1"/>
  <c r="N112" i="4"/>
  <c r="O112" i="4" s="1"/>
  <c r="N111" i="4"/>
  <c r="N110" i="4"/>
  <c r="O110" i="4" s="1"/>
  <c r="N109" i="4"/>
  <c r="O109" i="4" s="1"/>
  <c r="N108" i="4"/>
  <c r="O108" i="4" s="1"/>
  <c r="N107" i="4"/>
  <c r="N105" i="4"/>
  <c r="N104" i="4"/>
  <c r="O104" i="4" s="1"/>
  <c r="N103" i="4"/>
  <c r="O103" i="4" s="1"/>
  <c r="N102" i="4"/>
  <c r="O102" i="4" s="1"/>
  <c r="N101" i="4"/>
  <c r="N100" i="4"/>
  <c r="Q103" i="4" s="1"/>
  <c r="N99" i="4"/>
  <c r="N97" i="4"/>
  <c r="O97" i="4" s="1"/>
  <c r="N96" i="4"/>
  <c r="N95" i="4"/>
  <c r="O95" i="4" s="1"/>
  <c r="N94" i="4"/>
  <c r="O94" i="4" s="1"/>
  <c r="N93" i="4"/>
  <c r="O93" i="4" s="1"/>
  <c r="N92" i="4"/>
  <c r="O92" i="4" s="1"/>
  <c r="N91" i="4"/>
  <c r="Q95" i="4" s="1"/>
  <c r="N89" i="4"/>
  <c r="N88" i="4"/>
  <c r="O88" i="4" s="1"/>
  <c r="N87" i="4"/>
  <c r="O87" i="4" s="1"/>
  <c r="N86" i="4"/>
  <c r="O86" i="4" s="1"/>
  <c r="N85" i="4"/>
  <c r="N84" i="4"/>
  <c r="N83" i="4"/>
  <c r="N81" i="4"/>
  <c r="O81" i="4" s="1"/>
  <c r="N80" i="4"/>
  <c r="O80" i="4" s="1"/>
  <c r="N79" i="4"/>
  <c r="N78" i="4"/>
  <c r="O78" i="4" s="1"/>
  <c r="N77" i="4"/>
  <c r="O77" i="4" s="1"/>
  <c r="N76" i="4"/>
  <c r="O76" i="4" s="1"/>
  <c r="N75" i="4"/>
  <c r="N73" i="4"/>
  <c r="N72" i="4"/>
  <c r="O72" i="4" s="1"/>
  <c r="N71" i="4"/>
  <c r="O71" i="4" s="1"/>
  <c r="N70" i="4"/>
  <c r="O70" i="4" s="1"/>
  <c r="N69" i="4"/>
  <c r="N68" i="4"/>
  <c r="Q71" i="4" s="1"/>
  <c r="N67" i="4"/>
  <c r="N65" i="4"/>
  <c r="O65" i="4" s="1"/>
  <c r="N64" i="4"/>
  <c r="O64" i="4" s="1"/>
  <c r="N63" i="4"/>
  <c r="O63" i="4" s="1"/>
  <c r="N62" i="4"/>
  <c r="O62" i="4" s="1"/>
  <c r="N61" i="4"/>
  <c r="O61" i="4" s="1"/>
  <c r="N60" i="4"/>
  <c r="O60" i="4" s="1"/>
  <c r="N59" i="4"/>
  <c r="Q63" i="4" s="1"/>
  <c r="N57" i="4"/>
  <c r="N56" i="4"/>
  <c r="O56" i="4" s="1"/>
  <c r="N55" i="4"/>
  <c r="O55" i="4" s="1"/>
  <c r="N54" i="4"/>
  <c r="O54" i="4" s="1"/>
  <c r="N53" i="4"/>
  <c r="N52" i="4"/>
  <c r="Q55" i="4" s="1"/>
  <c r="N51" i="4"/>
  <c r="N49" i="4"/>
  <c r="O49" i="4" s="1"/>
  <c r="N48" i="4"/>
  <c r="O48" i="4" s="1"/>
  <c r="N47" i="4"/>
  <c r="N46" i="4"/>
  <c r="O46" i="4" s="1"/>
  <c r="N45" i="4"/>
  <c r="O45" i="4" s="1"/>
  <c r="N44" i="4"/>
  <c r="O44" i="4" s="1"/>
  <c r="N43" i="4"/>
  <c r="N39" i="4"/>
  <c r="O40" i="4" s="1"/>
  <c r="N37" i="4"/>
  <c r="Q39" i="4" s="1"/>
  <c r="N33" i="4"/>
  <c r="O33" i="4" s="1"/>
  <c r="N32" i="4"/>
  <c r="O32" i="4" s="1"/>
  <c r="N31" i="4"/>
  <c r="N30" i="4"/>
  <c r="Q31" i="4" s="1"/>
  <c r="N29" i="4"/>
  <c r="O29" i="4" s="1"/>
  <c r="N28" i="4"/>
  <c r="O28" i="4" s="1"/>
  <c r="N27" i="4"/>
  <c r="N25" i="4"/>
  <c r="O25" i="4" s="1"/>
  <c r="N24" i="4"/>
  <c r="O24" i="4" s="1"/>
  <c r="N23" i="4"/>
  <c r="O23" i="4" s="1"/>
  <c r="N22" i="4"/>
  <c r="O22" i="4" s="1"/>
  <c r="N21" i="4"/>
  <c r="O21" i="4" s="1"/>
  <c r="N20" i="4"/>
  <c r="N19" i="4"/>
  <c r="N17" i="4"/>
  <c r="N16" i="4"/>
  <c r="N15" i="4"/>
  <c r="N14" i="4"/>
  <c r="N13" i="4"/>
  <c r="N12" i="4"/>
  <c r="N11" i="4"/>
  <c r="M11" i="4"/>
  <c r="M33" i="4"/>
  <c r="M32" i="4"/>
  <c r="M25" i="4"/>
  <c r="M24" i="4"/>
  <c r="M17" i="4"/>
  <c r="M16" i="4"/>
  <c r="M23" i="4"/>
  <c r="M22" i="4"/>
  <c r="M21" i="4"/>
  <c r="M20" i="4"/>
  <c r="M19" i="4"/>
  <c r="M216" i="4"/>
  <c r="M215" i="4"/>
  <c r="M214" i="4"/>
  <c r="M213" i="4"/>
  <c r="M212" i="4"/>
  <c r="M209" i="4"/>
  <c r="M208" i="4"/>
  <c r="M207" i="4"/>
  <c r="M206" i="4"/>
  <c r="M205" i="4"/>
  <c r="M204" i="4"/>
  <c r="M203" i="4"/>
  <c r="M201" i="4"/>
  <c r="M200" i="4"/>
  <c r="M199" i="4"/>
  <c r="M198" i="4"/>
  <c r="M197" i="4"/>
  <c r="M196" i="4"/>
  <c r="M195" i="4"/>
  <c r="M193" i="4"/>
  <c r="M192" i="4"/>
  <c r="M191" i="4"/>
  <c r="M190" i="4"/>
  <c r="M189" i="4"/>
  <c r="M188" i="4"/>
  <c r="M187" i="4"/>
  <c r="M185" i="4"/>
  <c r="M184" i="4"/>
  <c r="M183" i="4"/>
  <c r="M182" i="4"/>
  <c r="M181" i="4"/>
  <c r="M180" i="4"/>
  <c r="M179" i="4"/>
  <c r="M175" i="4"/>
  <c r="M172" i="4"/>
  <c r="M171" i="4"/>
  <c r="M169" i="4"/>
  <c r="M168" i="4"/>
  <c r="M167" i="4"/>
  <c r="M166" i="4"/>
  <c r="M165" i="4"/>
  <c r="M164" i="4"/>
  <c r="M163" i="4"/>
  <c r="M161" i="4"/>
  <c r="M160" i="4"/>
  <c r="M159" i="4"/>
  <c r="M158" i="4"/>
  <c r="M157" i="4"/>
  <c r="M156" i="4"/>
  <c r="M155" i="4"/>
  <c r="M153" i="4"/>
  <c r="M152" i="4"/>
  <c r="M151" i="4"/>
  <c r="M150" i="4"/>
  <c r="M145" i="4"/>
  <c r="M144" i="4"/>
  <c r="M143" i="4"/>
  <c r="M142" i="4"/>
  <c r="M141" i="4"/>
  <c r="M140" i="4"/>
  <c r="M139" i="4"/>
  <c r="M137" i="4"/>
  <c r="M136" i="4"/>
  <c r="M135" i="4"/>
  <c r="M134" i="4"/>
  <c r="M133" i="4"/>
  <c r="M132" i="4"/>
  <c r="M131" i="4"/>
  <c r="M129" i="4"/>
  <c r="M128" i="4"/>
  <c r="M127" i="4"/>
  <c r="M126" i="4"/>
  <c r="M125" i="4"/>
  <c r="M124" i="4"/>
  <c r="M123" i="4"/>
  <c r="M121" i="4"/>
  <c r="M120" i="4"/>
  <c r="M119" i="4"/>
  <c r="M118" i="4"/>
  <c r="M117" i="4"/>
  <c r="M116" i="4"/>
  <c r="M115" i="4"/>
  <c r="M113" i="4"/>
  <c r="M112" i="4"/>
  <c r="M111" i="4"/>
  <c r="M110" i="4"/>
  <c r="M109" i="4"/>
  <c r="M108" i="4"/>
  <c r="M107" i="4"/>
  <c r="M105" i="4"/>
  <c r="M104" i="4"/>
  <c r="M103" i="4"/>
  <c r="M102" i="4"/>
  <c r="M101" i="4"/>
  <c r="M100" i="4"/>
  <c r="M99" i="4"/>
  <c r="M97" i="4"/>
  <c r="M96" i="4"/>
  <c r="M95" i="4"/>
  <c r="M94" i="4"/>
  <c r="M93" i="4"/>
  <c r="M92" i="4"/>
  <c r="M91" i="4"/>
  <c r="M89" i="4"/>
  <c r="M88" i="4"/>
  <c r="M87" i="4"/>
  <c r="M86" i="4"/>
  <c r="M85" i="4"/>
  <c r="M84" i="4"/>
  <c r="M83" i="4"/>
  <c r="M81" i="4"/>
  <c r="M80" i="4"/>
  <c r="M79" i="4"/>
  <c r="M78" i="4"/>
  <c r="M77" i="4"/>
  <c r="M76" i="4"/>
  <c r="M75" i="4"/>
  <c r="M73" i="4"/>
  <c r="M72" i="4"/>
  <c r="M71" i="4"/>
  <c r="M70" i="4"/>
  <c r="M69" i="4"/>
  <c r="M68" i="4"/>
  <c r="M67" i="4"/>
  <c r="M65" i="4"/>
  <c r="M64" i="4"/>
  <c r="M63" i="4"/>
  <c r="M62" i="4"/>
  <c r="M61" i="4"/>
  <c r="M60" i="4"/>
  <c r="M59" i="4"/>
  <c r="M57" i="4"/>
  <c r="M56" i="4"/>
  <c r="M55" i="4"/>
  <c r="M54" i="4"/>
  <c r="M53" i="4"/>
  <c r="M52" i="4"/>
  <c r="M51" i="4"/>
  <c r="M49" i="4"/>
  <c r="M48" i="4"/>
  <c r="M47" i="4"/>
  <c r="M46" i="4"/>
  <c r="M45" i="4"/>
  <c r="M44" i="4"/>
  <c r="M43" i="4"/>
  <c r="M39" i="4"/>
  <c r="M37" i="4"/>
  <c r="M31" i="4"/>
  <c r="M30" i="4"/>
  <c r="M29" i="4"/>
  <c r="M28" i="4"/>
  <c r="M27" i="4"/>
  <c r="M15" i="4"/>
  <c r="M14" i="4"/>
  <c r="M13" i="4"/>
  <c r="M12" i="4"/>
  <c r="I21" i="3"/>
  <c r="H21" i="3"/>
  <c r="G21" i="3"/>
  <c r="F21" i="3"/>
  <c r="E21" i="3"/>
  <c r="D21" i="3"/>
  <c r="C20" i="3"/>
  <c r="C19" i="3"/>
  <c r="C18" i="3"/>
  <c r="C17" i="3"/>
  <c r="C16" i="3"/>
  <c r="C15" i="3"/>
  <c r="C14" i="3"/>
  <c r="C13" i="3"/>
  <c r="C21" i="3" s="1"/>
  <c r="C12" i="3"/>
  <c r="C11" i="3"/>
  <c r="C10" i="3"/>
  <c r="C9" i="3"/>
  <c r="C8" i="3"/>
  <c r="C7" i="3"/>
  <c r="C6" i="3"/>
  <c r="C5" i="3"/>
  <c r="C4" i="3"/>
  <c r="AC17" i="2"/>
  <c r="AC16" i="2"/>
  <c r="AC15" i="2"/>
  <c r="AC14" i="2"/>
  <c r="AC13" i="2"/>
  <c r="AC12" i="2"/>
  <c r="AC11" i="2"/>
  <c r="AC10" i="2"/>
  <c r="AC9" i="2"/>
  <c r="AC8" i="2"/>
  <c r="AC7" i="2"/>
  <c r="AC6" i="2"/>
  <c r="AC5" i="2"/>
  <c r="R17" i="2"/>
  <c r="AA17" i="2" s="1"/>
  <c r="R16" i="2"/>
  <c r="R15" i="2"/>
  <c r="R14" i="2"/>
  <c r="AA14" i="2" s="1"/>
  <c r="R13" i="2"/>
  <c r="R12" i="2"/>
  <c r="R11" i="2"/>
  <c r="R10" i="2"/>
  <c r="AA10" i="2" s="1"/>
  <c r="R9" i="2"/>
  <c r="AA9" i="2" s="1"/>
  <c r="R8" i="2"/>
  <c r="R7" i="2"/>
  <c r="R6" i="2"/>
  <c r="AA6" i="2" s="1"/>
  <c r="R5" i="2"/>
  <c r="AA5" i="2" s="1"/>
  <c r="J17" i="2"/>
  <c r="J16" i="2"/>
  <c r="J15" i="2"/>
  <c r="J14" i="2"/>
  <c r="J13" i="2"/>
  <c r="J12" i="2"/>
  <c r="J11" i="2"/>
  <c r="J10" i="2"/>
  <c r="Z10" i="2" s="1"/>
  <c r="J9" i="2"/>
  <c r="J8" i="2"/>
  <c r="J7" i="2"/>
  <c r="J6" i="2"/>
  <c r="Z6" i="2" s="1"/>
  <c r="Z8" i="2"/>
  <c r="J5" i="2"/>
  <c r="Y17" i="2"/>
  <c r="AB17" i="2" s="1"/>
  <c r="Y16" i="2"/>
  <c r="AB16" i="2" s="1"/>
  <c r="AA16" i="2"/>
  <c r="Y15" i="2"/>
  <c r="AB15" i="2" s="1"/>
  <c r="AA15" i="2"/>
  <c r="Y14" i="2"/>
  <c r="AB14" i="2" s="1"/>
  <c r="Y13" i="2"/>
  <c r="AB13" i="2" s="1"/>
  <c r="AA13" i="2"/>
  <c r="Y12" i="2"/>
  <c r="AB12" i="2" s="1"/>
  <c r="AA12" i="2"/>
  <c r="Y11" i="2"/>
  <c r="AB11" i="2" s="1"/>
  <c r="AA11" i="2"/>
  <c r="Y10" i="2"/>
  <c r="AB10" i="2" s="1"/>
  <c r="Y9" i="2"/>
  <c r="AB9" i="2" s="1"/>
  <c r="Y8" i="2"/>
  <c r="AB8" i="2" s="1"/>
  <c r="AA8" i="2"/>
  <c r="Y7" i="2"/>
  <c r="AB7" i="2" s="1"/>
  <c r="AA7" i="2"/>
  <c r="Z7" i="2"/>
  <c r="Y6" i="2"/>
  <c r="AB6" i="2" s="1"/>
  <c r="Y5" i="2"/>
  <c r="AB5" i="2" s="1"/>
  <c r="Z17" i="1"/>
  <c r="AD17" i="1" s="1"/>
  <c r="S17" i="1"/>
  <c r="AC17" i="1" s="1"/>
  <c r="L17" i="1"/>
  <c r="AB17" i="1" s="1"/>
  <c r="G17" i="1"/>
  <c r="Z16" i="1"/>
  <c r="AD16" i="1" s="1"/>
  <c r="S16" i="1"/>
  <c r="AC16" i="1" s="1"/>
  <c r="L16" i="1"/>
  <c r="AB16" i="1" s="1"/>
  <c r="G16" i="1"/>
  <c r="Z15" i="1"/>
  <c r="AD15" i="1" s="1"/>
  <c r="S15" i="1"/>
  <c r="AC15" i="1" s="1"/>
  <c r="L15" i="1"/>
  <c r="AB15" i="1" s="1"/>
  <c r="G15" i="1"/>
  <c r="Z14" i="1"/>
  <c r="AD14" i="1" s="1"/>
  <c r="S14" i="1"/>
  <c r="AC14" i="1" s="1"/>
  <c r="L14" i="1"/>
  <c r="AB14" i="1" s="1"/>
  <c r="G14" i="1"/>
  <c r="Z13" i="1"/>
  <c r="AD13" i="1" s="1"/>
  <c r="S13" i="1"/>
  <c r="AC13" i="1" s="1"/>
  <c r="L13" i="1"/>
  <c r="AB13" i="1" s="1"/>
  <c r="G13" i="1"/>
  <c r="Z12" i="1"/>
  <c r="AD12" i="1" s="1"/>
  <c r="S12" i="1"/>
  <c r="AC12" i="1" s="1"/>
  <c r="L12" i="1"/>
  <c r="AB12" i="1" s="1"/>
  <c r="G12" i="1"/>
  <c r="Z11" i="1"/>
  <c r="AD11" i="1" s="1"/>
  <c r="S11" i="1"/>
  <c r="AC11" i="1" s="1"/>
  <c r="L11" i="1"/>
  <c r="AB11" i="1" s="1"/>
  <c r="G11" i="1"/>
  <c r="Z10" i="1"/>
  <c r="AD10" i="1" s="1"/>
  <c r="S10" i="1"/>
  <c r="AC10" i="1" s="1"/>
  <c r="L10" i="1"/>
  <c r="AB10" i="1" s="1"/>
  <c r="G10" i="1"/>
  <c r="Z9" i="1"/>
  <c r="AD9" i="1" s="1"/>
  <c r="S9" i="1"/>
  <c r="AC9" i="1" s="1"/>
  <c r="L9" i="1"/>
  <c r="AB9" i="1" s="1"/>
  <c r="G9" i="1"/>
  <c r="Z8" i="1"/>
  <c r="AD8" i="1" s="1"/>
  <c r="S8" i="1"/>
  <c r="AC8" i="1" s="1"/>
  <c r="L8" i="1"/>
  <c r="AB8" i="1" s="1"/>
  <c r="G8" i="1"/>
  <c r="Z7" i="1"/>
  <c r="AD7" i="1" s="1"/>
  <c r="S7" i="1"/>
  <c r="AC7" i="1" s="1"/>
  <c r="L7" i="1"/>
  <c r="AB7" i="1" s="1"/>
  <c r="G7" i="1"/>
  <c r="Z6" i="1"/>
  <c r="AD6" i="1" s="1"/>
  <c r="S6" i="1"/>
  <c r="AC6" i="1" s="1"/>
  <c r="L6" i="1"/>
  <c r="AB6" i="1" s="1"/>
  <c r="G6" i="1"/>
  <c r="Z5" i="1"/>
  <c r="AD5" i="1" s="1"/>
  <c r="S5" i="1"/>
  <c r="AC5" i="1" s="1"/>
  <c r="L5" i="1"/>
  <c r="AB5" i="1" s="1"/>
  <c r="G5" i="1"/>
  <c r="AA5" i="1" s="1"/>
  <c r="O69" i="4" l="1"/>
  <c r="O73" i="4"/>
  <c r="O96" i="4"/>
  <c r="O105" i="4"/>
  <c r="Q199" i="4"/>
  <c r="O38" i="4"/>
  <c r="O150" i="4"/>
  <c r="O172" i="4"/>
  <c r="O204" i="4"/>
  <c r="O37" i="4"/>
  <c r="O101" i="4"/>
  <c r="O133" i="4"/>
  <c r="O137" i="4"/>
  <c r="O159" i="4"/>
  <c r="O191" i="4"/>
  <c r="Q87" i="4"/>
  <c r="Q119" i="4"/>
  <c r="Q168" i="4"/>
  <c r="O39" i="4"/>
  <c r="O173" i="4"/>
  <c r="O216" i="4"/>
  <c r="O31" i="4"/>
  <c r="Q23" i="4"/>
  <c r="Q47" i="4"/>
  <c r="Q79" i="4"/>
  <c r="Q111" i="4"/>
  <c r="Q143" i="4"/>
  <c r="Q183" i="4"/>
  <c r="O20" i="4"/>
  <c r="O30" i="4"/>
  <c r="O52" i="4"/>
  <c r="O68" i="4"/>
  <c r="O84" i="4"/>
  <c r="O100" i="4"/>
  <c r="O116" i="4"/>
  <c r="O132" i="4"/>
  <c r="O158" i="4"/>
  <c r="O180" i="4"/>
  <c r="O190" i="4"/>
  <c r="O196" i="4"/>
  <c r="O213" i="4"/>
  <c r="O217" i="4"/>
  <c r="O12" i="4"/>
  <c r="O17" i="4"/>
  <c r="O13" i="4"/>
  <c r="O14" i="4"/>
  <c r="O15" i="4"/>
  <c r="O16" i="4"/>
  <c r="Q15" i="4"/>
  <c r="P221" i="4"/>
  <c r="P222" i="4" s="1"/>
  <c r="Z12" i="2"/>
  <c r="Z16" i="2"/>
  <c r="Z14" i="2"/>
  <c r="Z11" i="2"/>
  <c r="Z15" i="2"/>
  <c r="Z5" i="2"/>
  <c r="Z9" i="2"/>
  <c r="Z13" i="2"/>
  <c r="Z17" i="2"/>
  <c r="AE10" i="1"/>
  <c r="AE11" i="1"/>
  <c r="AE12" i="1"/>
  <c r="AE13" i="1"/>
  <c r="AE14" i="1"/>
  <c r="AE15" i="1"/>
  <c r="AE16" i="1"/>
  <c r="AE17" i="1"/>
  <c r="AE6" i="1"/>
  <c r="AE8" i="1"/>
  <c r="AE9" i="1"/>
  <c r="AE7" i="1"/>
  <c r="AA6" i="1"/>
  <c r="AA10" i="1"/>
  <c r="AA14" i="1"/>
  <c r="AA7" i="1"/>
  <c r="AA11" i="1"/>
  <c r="AA15" i="1"/>
  <c r="AA8" i="1"/>
  <c r="AA12" i="1"/>
  <c r="AA16" i="1"/>
  <c r="AA9" i="1"/>
  <c r="AA13" i="1"/>
  <c r="AA17" i="1"/>
  <c r="AE5" i="1"/>
</calcChain>
</file>

<file path=xl/sharedStrings.xml><?xml version="1.0" encoding="utf-8"?>
<sst xmlns="http://schemas.openxmlformats.org/spreadsheetml/2006/main" count="929" uniqueCount="154">
  <si>
    <t>Школа</t>
  </si>
  <si>
    <t>ФИО</t>
  </si>
  <si>
    <t>№</t>
  </si>
  <si>
    <t>Коэфициент сложности предмета</t>
  </si>
  <si>
    <t>Предмет</t>
  </si>
  <si>
    <t>Математика</t>
  </si>
  <si>
    <t>Результативность по предмету</t>
  </si>
  <si>
    <t>Средний балл по предмету по всем классам учителя</t>
  </si>
  <si>
    <t>количество итоговых троек</t>
  </si>
  <si>
    <t>Итог</t>
  </si>
  <si>
    <t>Внекласная работа по предмету</t>
  </si>
  <si>
    <t>Оценка за призовые места учащихся на школьных олимпиадах, конкурсах и т.п.(1-2балл,2-1б, 3место-0,5б)</t>
  </si>
  <si>
    <t>Оценка за призовые места учащихся на районных (3 балла), городских (4 балла), областных (5 баллов)</t>
  </si>
  <si>
    <t>Оценка за проведение учителем предметных конкурсов(1-2балл)</t>
  </si>
  <si>
    <t>Оценка за проведение учителем внеклассного мероприятия(1-3баллов)</t>
  </si>
  <si>
    <t>Итог Внекласная работа</t>
  </si>
  <si>
    <t>Методическая деятельность</t>
  </si>
  <si>
    <t>Участие в конкурсах</t>
  </si>
  <si>
    <t>За разработку методических материалов с рецензией Өрлеу(до 5 баллов)</t>
  </si>
  <si>
    <t>Выступлений на педсоветах, семинарах и т.п. (до 4 баллов)</t>
  </si>
  <si>
    <t>За материала на методической выставке (до 3 баллов)</t>
  </si>
  <si>
    <t xml:space="preserve">Обобщение опыта по инициативе учителя (до 3 баллов) </t>
  </si>
  <si>
    <t>За опубликованные методические материалы (до 3 баллов)</t>
  </si>
  <si>
    <t>Итог методической деятельности</t>
  </si>
  <si>
    <t>Рейтинг учителя у администрации</t>
  </si>
  <si>
    <t xml:space="preserve">Оформление документации </t>
  </si>
  <si>
    <t>Членстов жюри, международых конференции выступил</t>
  </si>
  <si>
    <t>НОУ (1место-4б, 2место-3б, 3место-2балл, подготовка-1 балл)</t>
  </si>
  <si>
    <t>PISA, ОРМ, ЕНТ, доп.занятия</t>
  </si>
  <si>
    <t>Итог у администрации</t>
  </si>
  <si>
    <t>KIO (за участие-1б, 1-место 4б, 2 место-3б, 3 место-2б</t>
  </si>
  <si>
    <t>Кунделік. Ведение.</t>
  </si>
  <si>
    <t>Общий итог</t>
  </si>
  <si>
    <t>АЗЫМБАЕВА</t>
  </si>
  <si>
    <t>АЙТБАЙ</t>
  </si>
  <si>
    <t>АЛЬМЕНОВА</t>
  </si>
  <si>
    <t>АЛЬНАЗИРОВА</t>
  </si>
  <si>
    <t>АРЫНГАЗИНА</t>
  </si>
  <si>
    <t>АХШАЛОВА</t>
  </si>
  <si>
    <t>ИЛЬЯСОВА</t>
  </si>
  <si>
    <t>ИТЕМГЕНОВ</t>
  </si>
  <si>
    <t>КАБЫЛОВА</t>
  </si>
  <si>
    <t>КАЗАНГАПОВ</t>
  </si>
  <si>
    <t>КАЙДАРОВА</t>
  </si>
  <si>
    <t>КОЖАГЕЛЬДИНОВА</t>
  </si>
  <si>
    <t>МОМЫНОВ</t>
  </si>
  <si>
    <t>Химия</t>
  </si>
  <si>
    <t>Русский язык</t>
  </si>
  <si>
    <t>Каз яз</t>
  </si>
  <si>
    <t>Ин яз</t>
  </si>
  <si>
    <t>история</t>
  </si>
  <si>
    <t>География</t>
  </si>
  <si>
    <t>Информатика</t>
  </si>
  <si>
    <t>Жас Дарын</t>
  </si>
  <si>
    <t>Внеклассная работа (1-5 балл)</t>
  </si>
  <si>
    <t>Организация отдыха учеников</t>
  </si>
  <si>
    <t>Ведение рейтинга учящихся</t>
  </si>
  <si>
    <t>Участие в флеш-мобе,информационные собрания, чтение книг</t>
  </si>
  <si>
    <t>Проведения внекласных мероприятии</t>
  </si>
  <si>
    <t>Дежурство класса</t>
  </si>
  <si>
    <t>Методическая деятельность классного руководителя (1-5)</t>
  </si>
  <si>
    <t>Участие в конкурсах, семинарах (город)</t>
  </si>
  <si>
    <t>Участие в конкурсах, семинарах (обл)</t>
  </si>
  <si>
    <t>Участие в конкурсах, семинарах (Респ)</t>
  </si>
  <si>
    <t>Освещение мероприятий  в СМИ</t>
  </si>
  <si>
    <t xml:space="preserve">Обобщение опыта  учителя  </t>
  </si>
  <si>
    <t>Опубликованные методические материалы,публикаций</t>
  </si>
  <si>
    <t>Рейтинг учителя у администрации (1-5 балл)</t>
  </si>
  <si>
    <t xml:space="preserve">  Сдача отчетов</t>
  </si>
  <si>
    <t xml:space="preserve"> Посещаемость, опоздание учеников</t>
  </si>
  <si>
    <t xml:space="preserve"> Ведение классных уголков</t>
  </si>
  <si>
    <t xml:space="preserve"> Ведение ПДД</t>
  </si>
  <si>
    <t xml:space="preserve"> Питание учеников</t>
  </si>
  <si>
    <t xml:space="preserve"> Заполнение журнала для кл.рук</t>
  </si>
  <si>
    <t>Итог у администраций</t>
  </si>
  <si>
    <t xml:space="preserve">Внекласная работа </t>
  </si>
  <si>
    <t>номер</t>
  </si>
  <si>
    <t>5А</t>
  </si>
  <si>
    <t>5Ә</t>
  </si>
  <si>
    <t>5Б</t>
  </si>
  <si>
    <t>6А</t>
  </si>
  <si>
    <t>6Ә</t>
  </si>
  <si>
    <t>6Б</t>
  </si>
  <si>
    <t>7А</t>
  </si>
  <si>
    <t>7Ә</t>
  </si>
  <si>
    <t>8А</t>
  </si>
  <si>
    <t>8Ә</t>
  </si>
  <si>
    <t>9А</t>
  </si>
  <si>
    <t>9Ә</t>
  </si>
  <si>
    <t>9Б</t>
  </si>
  <si>
    <t>10А</t>
  </si>
  <si>
    <t>10Ә</t>
  </si>
  <si>
    <t>11А</t>
  </si>
  <si>
    <t>11Ә</t>
  </si>
  <si>
    <t>Жалпы оқушы</t>
  </si>
  <si>
    <t>Ұл бала</t>
  </si>
  <si>
    <t>Қыз</t>
  </si>
  <si>
    <t>Көп балалы</t>
  </si>
  <si>
    <t>ТОлық емес</t>
  </si>
  <si>
    <t>Аз қамтылған</t>
  </si>
  <si>
    <t>Жетім</t>
  </si>
  <si>
    <t>Успеваемость класса</t>
  </si>
  <si>
    <t>5А, 2025 /2026 оқу жылы</t>
  </si>
  <si>
    <t>АТЫ-ЖӨНІ</t>
  </si>
  <si>
    <t>Қорытынды бағалар</t>
  </si>
  <si>
    <t>Дүниежүзі</t>
  </si>
  <si>
    <t>Жаратылыстану</t>
  </si>
  <si>
    <t>Қазақ әдебиеті</t>
  </si>
  <si>
    <t>Қазақ тілі</t>
  </si>
  <si>
    <t>Қазақстан</t>
  </si>
  <si>
    <t>Орыс тілі және</t>
  </si>
  <si>
    <t>Шетел тілі</t>
  </si>
  <si>
    <t>тарихы</t>
  </si>
  <si>
    <t>әдебиеті</t>
  </si>
  <si>
    <t>Абылғазы 
Нұралы 
Дидарұлы</t>
  </si>
  <si>
    <t>1 тоқсан</t>
  </si>
  <si>
    <t>-</t>
  </si>
  <si>
    <t>2 тоқсан</t>
  </si>
  <si>
    <t>3 тоқсан</t>
  </si>
  <si>
    <t>4 тоқсан</t>
  </si>
  <si>
    <t>Жыл</t>
  </si>
  <si>
    <t>Емтихан</t>
  </si>
  <si>
    <t>Қорытынды</t>
  </si>
  <si>
    <t>Артыкбаев 
Ансар 
Алмасович</t>
  </si>
  <si>
    <t>Ашимова 
Дария 
Ерболатовна</t>
  </si>
  <si>
    <t>Байбусинова 
Ажар 
Максутовна</t>
  </si>
  <si>
    <t>Бауржан 
Аяулым 
Жалғасқызы</t>
  </si>
  <si>
    <t>Бәкібай 
Ералы 
Қуатұлы</t>
  </si>
  <si>
    <t>Бегалинов 
Нурали 
Каиргельдинович</t>
  </si>
  <si>
    <t>Егінбай 
Ерасыл 
Сәбитұлы</t>
  </si>
  <si>
    <t>Жамбаев 
Мадияр 
Ерганатович</t>
  </si>
  <si>
    <t>Жасұлан 
Нұрәлі 
Мұратұлы</t>
  </si>
  <si>
    <t>Исеналинов 
Гимран 
Асетович</t>
  </si>
  <si>
    <t>Кенжебеков 
Ернияз 
Серикович</t>
  </si>
  <si>
    <t>Күмісбек 
Мәди 
Мақсатұлы</t>
  </si>
  <si>
    <t>Қабдолла 
Дарын 
Әділұлы</t>
  </si>
  <si>
    <t>Қайдар 
Айым 
Маратқызы</t>
  </si>
  <si>
    <t>Қайкен 
Нұрислам 
Ерсінұлы</t>
  </si>
  <si>
    <t>Қаржас 
Даниал 
Бекболатұлы</t>
  </si>
  <si>
    <t>Манат 
Арнұр 
Ермұханұлы</t>
  </si>
  <si>
    <t>Мубаракова 
Жансая 
Ерсултановна</t>
  </si>
  <si>
    <t>Нұрлан 
Іңкәр 
Ержанқызы</t>
  </si>
  <si>
    <t>Сагиева 
Аяжан 
Бейбутовна</t>
  </si>
  <si>
    <t>Садық 
Райана 
Берікқызы</t>
  </si>
  <si>
    <t>Сайлау 
Алинұр 
Нұрланұлы</t>
  </si>
  <si>
    <t>Сайлаубай 
Айлана 
Дәуренқызы</t>
  </si>
  <si>
    <t>Совет 
Нұрасыл 
Қанағатұлы</t>
  </si>
  <si>
    <t>Тоқтар 
Рамазан 
Құрметұлы</t>
  </si>
  <si>
    <t>Сынып жетекшісі _______________________________ Ахшалова Данира Каскирбековна</t>
  </si>
  <si>
    <t>ОТЖ бойынша директор орынбасары _______________________________</t>
  </si>
  <si>
    <t>Качество</t>
  </si>
  <si>
    <t>Успеваемость</t>
  </si>
  <si>
    <t>кол-во 4-5</t>
  </si>
  <si>
    <t>кол-во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</si>
</sst>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1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9"/>
      <color theme="1"/>
      <name val="Calibri"/>
      <family val="2"/>
      <charset val="204"/>
      <scheme val="minor"/>
    </font>
    <font>
      <b/>
      <sz val="9"/>
      <color theme="1"/>
      <name val="Calibri"/>
      <family val="2"/>
      <charset val="204"/>
      <scheme val="minor"/>
    </font>
    <font>
      <sz val="16.5"/>
      <color rgb="FF000000"/>
      <name val="Calibri"/>
      <family val="2"/>
      <charset val="204"/>
      <scheme val="minor"/>
    </font>
    <font>
      <b/>
      <sz val="16"/>
      <color rgb="FF000000"/>
      <name val="Calibri"/>
      <family val="2"/>
      <charset val="204"/>
      <scheme val="minor"/>
    </font>
    <font>
      <b/>
      <sz val="14"/>
      <color rgb="FF000000"/>
      <name val="Calibri"/>
      <family val="2"/>
      <charset val="204"/>
      <scheme val="minor"/>
    </font>
    <font>
      <sz val="10"/>
      <color rgb="FF000000"/>
      <name val="Calibri"/>
      <family val="2"/>
      <charset val="204"/>
      <scheme val="minor"/>
    </font>
    <font>
      <sz val="15"/>
      <color rgb="FF000000"/>
      <name val="Calibri"/>
      <family val="2"/>
      <charset val="204"/>
      <scheme val="minor"/>
    </font>
    <font>
      <sz val="10"/>
      <color rgb="FF0F1115"/>
      <name val="Consolas"/>
      <family val="3"/>
      <charset val="204"/>
    </font>
    <font>
      <sz val="9"/>
      <color rgb="FF000000"/>
      <name val="Calibri"/>
      <family val="2"/>
      <charset val="204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999999"/>
      </left>
      <right style="medium">
        <color rgb="FF999999"/>
      </right>
      <top style="medium">
        <color rgb="FF999999"/>
      </top>
      <bottom/>
      <diagonal/>
    </border>
    <border>
      <left style="medium">
        <color rgb="FF999999"/>
      </left>
      <right style="medium">
        <color rgb="FF999999"/>
      </right>
      <top/>
      <bottom style="medium">
        <color rgb="FF999999"/>
      </bottom>
      <diagonal/>
    </border>
    <border>
      <left style="medium">
        <color rgb="FF999999"/>
      </left>
      <right style="medium">
        <color rgb="FF999999"/>
      </right>
      <top/>
      <bottom/>
      <diagonal/>
    </border>
    <border>
      <left style="medium">
        <color rgb="FF999999"/>
      </left>
      <right style="medium">
        <color rgb="FF999999"/>
      </right>
      <top style="medium">
        <color rgb="FF999999"/>
      </top>
      <bottom style="medium">
        <color rgb="FF999999"/>
      </bottom>
      <diagonal/>
    </border>
    <border>
      <left style="medium">
        <color rgb="FF999999"/>
      </left>
      <right/>
      <top style="medium">
        <color rgb="FF999999"/>
      </top>
      <bottom style="medium">
        <color rgb="FF999999"/>
      </bottom>
      <diagonal/>
    </border>
    <border>
      <left/>
      <right/>
      <top style="medium">
        <color rgb="FF999999"/>
      </top>
      <bottom style="medium">
        <color rgb="FF999999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0" fillId="0" borderId="0" xfId="0" applyAlignment="1">
      <alignment wrapText="1"/>
    </xf>
    <xf numFmtId="0" fontId="2" fillId="0" borderId="0" xfId="0" applyFont="1"/>
    <xf numFmtId="0" fontId="2" fillId="0" borderId="0" xfId="0" applyFont="1" applyAlignment="1">
      <alignment wrapText="1"/>
    </xf>
    <xf numFmtId="0" fontId="0" fillId="0" borderId="0" xfId="0" applyProtection="1">
      <protection hidden="1"/>
    </xf>
    <xf numFmtId="0" fontId="1" fillId="0" borderId="0" xfId="0" applyFont="1"/>
    <xf numFmtId="0" fontId="0" fillId="0" borderId="1" xfId="0" applyBorder="1"/>
    <xf numFmtId="0" fontId="0" fillId="0" borderId="1" xfId="0" applyBorder="1" applyAlignment="1">
      <alignment wrapText="1"/>
    </xf>
    <xf numFmtId="0" fontId="2" fillId="0" borderId="1" xfId="0" applyFont="1" applyBorder="1"/>
    <xf numFmtId="0" fontId="2" fillId="0" borderId="1" xfId="0" applyFont="1" applyBorder="1" applyAlignment="1">
      <alignment wrapText="1"/>
    </xf>
    <xf numFmtId="0" fontId="3" fillId="0" borderId="1" xfId="0" applyFont="1" applyBorder="1" applyAlignment="1">
      <alignment wrapText="1"/>
    </xf>
    <xf numFmtId="0" fontId="0" fillId="0" borderId="1" xfId="0" applyBorder="1" applyProtection="1">
      <protection locked="0"/>
    </xf>
    <xf numFmtId="0" fontId="0" fillId="4" borderId="1" xfId="0" applyFill="1" applyBorder="1" applyProtection="1">
      <protection hidden="1"/>
    </xf>
    <xf numFmtId="0" fontId="0" fillId="5" borderId="1" xfId="0" applyFill="1" applyBorder="1" applyProtection="1">
      <protection hidden="1"/>
    </xf>
    <xf numFmtId="0" fontId="0" fillId="2" borderId="1" xfId="0" applyFill="1" applyBorder="1" applyProtection="1">
      <protection hidden="1"/>
    </xf>
    <xf numFmtId="0" fontId="0" fillId="3" borderId="1" xfId="0" applyFill="1" applyBorder="1" applyProtection="1">
      <protection hidden="1"/>
    </xf>
    <xf numFmtId="0" fontId="1" fillId="6" borderId="1" xfId="0" applyFont="1" applyFill="1" applyBorder="1" applyProtection="1">
      <protection hidden="1"/>
    </xf>
    <xf numFmtId="0" fontId="4" fillId="7" borderId="0" xfId="0" applyFont="1" applyFill="1" applyAlignment="1">
      <alignment horizontal="left" indent="1"/>
    </xf>
    <xf numFmtId="0" fontId="5" fillId="7" borderId="0" xfId="0" applyFont="1" applyFill="1" applyAlignment="1">
      <alignment horizontal="left" indent="1"/>
    </xf>
    <xf numFmtId="0" fontId="6" fillId="7" borderId="0" xfId="0" applyFont="1" applyFill="1" applyAlignment="1">
      <alignment horizontal="left" indent="1"/>
    </xf>
    <xf numFmtId="0" fontId="7" fillId="7" borderId="2" xfId="0" applyFont="1" applyFill="1" applyBorder="1" applyAlignment="1">
      <alignment horizontal="center" wrapText="1" indent="1"/>
    </xf>
    <xf numFmtId="0" fontId="7" fillId="7" borderId="3" xfId="0" applyFont="1" applyFill="1" applyBorder="1" applyAlignment="1">
      <alignment horizontal="center" wrapText="1" indent="1"/>
    </xf>
    <xf numFmtId="0" fontId="7" fillId="7" borderId="5" xfId="0" applyFont="1" applyFill="1" applyBorder="1" applyAlignment="1">
      <alignment horizontal="left" indent="1"/>
    </xf>
    <xf numFmtId="0" fontId="7" fillId="7" borderId="5" xfId="0" applyFont="1" applyFill="1" applyBorder="1" applyAlignment="1">
      <alignment horizontal="center" wrapText="1" indent="1"/>
    </xf>
    <xf numFmtId="0" fontId="8" fillId="7" borderId="0" xfId="0" applyFont="1" applyFill="1" applyAlignment="1">
      <alignment horizontal="left" indent="1"/>
    </xf>
    <xf numFmtId="0" fontId="4" fillId="7" borderId="0" xfId="0" applyFont="1" applyFill="1" applyAlignment="1" applyProtection="1">
      <alignment horizontal="left" indent="1"/>
      <protection hidden="1"/>
    </xf>
    <xf numFmtId="2" fontId="4" fillId="7" borderId="0" xfId="0" applyNumberFormat="1" applyFont="1" applyFill="1" applyAlignment="1" applyProtection="1">
      <alignment horizontal="left" indent="1"/>
      <protection hidden="1"/>
    </xf>
    <xf numFmtId="1" fontId="4" fillId="0" borderId="0" xfId="0" applyNumberFormat="1" applyFont="1" applyFill="1" applyAlignment="1" applyProtection="1">
      <alignment horizontal="left" indent="1"/>
      <protection hidden="1"/>
    </xf>
    <xf numFmtId="0" fontId="4" fillId="0" borderId="0" xfId="0" applyFont="1" applyFill="1" applyAlignment="1" applyProtection="1">
      <alignment horizontal="left" indent="1"/>
      <protection hidden="1"/>
    </xf>
    <xf numFmtId="164" fontId="4" fillId="0" borderId="0" xfId="0" applyNumberFormat="1" applyFont="1" applyFill="1" applyAlignment="1" applyProtection="1">
      <alignment horizontal="left" indent="1"/>
      <protection hidden="1"/>
    </xf>
    <xf numFmtId="1" fontId="0" fillId="2" borderId="0" xfId="0" applyNumberFormat="1" applyFill="1" applyProtection="1">
      <protection hidden="1"/>
    </xf>
    <xf numFmtId="0" fontId="7" fillId="7" borderId="2" xfId="0" applyFont="1" applyFill="1" applyBorder="1" applyAlignment="1">
      <alignment horizontal="left" wrapText="1" indent="1"/>
    </xf>
    <xf numFmtId="0" fontId="7" fillId="7" borderId="4" xfId="0" applyFont="1" applyFill="1" applyBorder="1" applyAlignment="1">
      <alignment horizontal="left" wrapText="1" indent="1"/>
    </xf>
    <xf numFmtId="0" fontId="7" fillId="7" borderId="3" xfId="0" applyFont="1" applyFill="1" applyBorder="1" applyAlignment="1">
      <alignment horizontal="left" wrapText="1" indent="1"/>
    </xf>
    <xf numFmtId="0" fontId="7" fillId="7" borderId="4" xfId="0" applyFont="1" applyFill="1" applyBorder="1" applyAlignment="1">
      <alignment horizontal="left"/>
    </xf>
    <xf numFmtId="0" fontId="7" fillId="7" borderId="2" xfId="0" applyFont="1" applyFill="1" applyBorder="1" applyAlignment="1">
      <alignment horizontal="left" indent="1"/>
    </xf>
    <xf numFmtId="0" fontId="7" fillId="7" borderId="5" xfId="0" applyFont="1" applyFill="1" applyBorder="1" applyAlignment="1">
      <alignment horizontal="left"/>
    </xf>
    <xf numFmtId="0" fontId="7" fillId="7" borderId="5" xfId="0" applyFont="1" applyFill="1" applyBorder="1" applyAlignment="1">
      <alignment horizontal="center"/>
    </xf>
    <xf numFmtId="0" fontId="4" fillId="7" borderId="5" xfId="0" applyFont="1" applyFill="1" applyBorder="1" applyAlignment="1" applyProtection="1">
      <alignment horizontal="left"/>
      <protection hidden="1"/>
    </xf>
    <xf numFmtId="0" fontId="0" fillId="0" borderId="1" xfId="0" applyBorder="1" applyAlignment="1"/>
    <xf numFmtId="0" fontId="7" fillId="7" borderId="2" xfId="0" applyFont="1" applyFill="1" applyBorder="1" applyAlignment="1">
      <alignment horizontal="left" wrapText="1" indent="1"/>
    </xf>
    <xf numFmtId="0" fontId="7" fillId="7" borderId="4" xfId="0" applyFont="1" applyFill="1" applyBorder="1" applyAlignment="1">
      <alignment horizontal="left" wrapText="1" indent="1"/>
    </xf>
    <xf numFmtId="0" fontId="7" fillId="7" borderId="3" xfId="0" applyFont="1" applyFill="1" applyBorder="1" applyAlignment="1">
      <alignment horizontal="left" wrapText="1" indent="1"/>
    </xf>
    <xf numFmtId="0" fontId="7" fillId="7" borderId="2" xfId="0" applyFont="1" applyFill="1" applyBorder="1" applyAlignment="1">
      <alignment horizontal="center" wrapText="1" indent="1"/>
    </xf>
    <xf numFmtId="0" fontId="7" fillId="7" borderId="3" xfId="0" applyFont="1" applyFill="1" applyBorder="1" applyAlignment="1">
      <alignment horizontal="center" wrapText="1" indent="1"/>
    </xf>
    <xf numFmtId="0" fontId="9" fillId="0" borderId="0" xfId="0" applyFont="1" applyAlignment="1">
      <alignment horizontal="left" vertical="center" indent="1"/>
    </xf>
    <xf numFmtId="0" fontId="10" fillId="7" borderId="0" xfId="0" applyFont="1" applyFill="1" applyAlignment="1" applyProtection="1">
      <alignment horizontal="left" indent="1"/>
      <protection hidden="1"/>
    </xf>
    <xf numFmtId="0" fontId="7" fillId="7" borderId="0" xfId="0" applyFont="1" applyFill="1" applyAlignment="1">
      <alignment horizontal="left" indent="1"/>
    </xf>
    <xf numFmtId="0" fontId="7" fillId="3" borderId="0" xfId="0" applyFont="1" applyFill="1" applyAlignment="1" applyProtection="1">
      <alignment horizontal="left" indent="1"/>
      <protection hidden="1"/>
    </xf>
    <xf numFmtId="0" fontId="7" fillId="7" borderId="0" xfId="0" applyFont="1" applyFill="1" applyAlignment="1" applyProtection="1">
      <alignment horizontal="left" indent="1"/>
      <protection hidden="1"/>
    </xf>
    <xf numFmtId="0" fontId="7" fillId="7" borderId="0" xfId="0" applyFont="1" applyFill="1" applyAlignment="1" applyProtection="1">
      <alignment horizontal="left" wrapText="1" indent="1"/>
      <protection hidden="1"/>
    </xf>
    <xf numFmtId="0" fontId="7" fillId="7" borderId="6" xfId="0" applyFont="1" applyFill="1" applyBorder="1" applyAlignment="1" applyProtection="1">
      <alignment horizontal="left" wrapText="1" indent="1"/>
    </xf>
    <xf numFmtId="0" fontId="0" fillId="0" borderId="7" xfId="0" applyBorder="1" applyAlignment="1" applyProtection="1">
      <alignment horizontal="left" wrapText="1" inden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s://static.kundelik.kz/images/logo/kz/dnevnik.ru.100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224</xdr:row>
      <xdr:rowOff>0</xdr:rowOff>
    </xdr:from>
    <xdr:to>
      <xdr:col>1</xdr:col>
      <xdr:colOff>666750</xdr:colOff>
      <xdr:row>226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B7DD0FD-09B7-4B37-B94D-63389DBC56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4465200"/>
          <a:ext cx="952500" cy="466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22C261-A0E3-4677-8613-0B16F5D0CE28}">
  <dimension ref="A1:AF17"/>
  <sheetViews>
    <sheetView workbookViewId="0">
      <selection activeCell="D2" sqref="D2"/>
    </sheetView>
  </sheetViews>
  <sheetFormatPr defaultRowHeight="15" x14ac:dyDescent="0.25"/>
  <cols>
    <col min="1" max="1" width="3.42578125" customWidth="1"/>
    <col min="2" max="3" width="19.28515625" customWidth="1"/>
    <col min="4" max="4" width="11.7109375" customWidth="1"/>
    <col min="6" max="6" width="11.140625" customWidth="1"/>
    <col min="8" max="8" width="13.85546875" customWidth="1"/>
    <col min="9" max="9" width="17.28515625" customWidth="1"/>
    <col min="10" max="10" width="13.28515625" customWidth="1"/>
    <col min="11" max="11" width="11.140625" customWidth="1"/>
    <col min="31" max="31" width="9.140625" style="5"/>
  </cols>
  <sheetData>
    <row r="1" spans="1:32" x14ac:dyDescent="0.25">
      <c r="B1" t="s">
        <v>0</v>
      </c>
      <c r="C1" t="s">
        <v>53</v>
      </c>
    </row>
    <row r="3" spans="1:32" ht="41.25" customHeight="1" x14ac:dyDescent="0.25">
      <c r="A3" s="6" t="s">
        <v>2</v>
      </c>
      <c r="B3" s="6" t="s">
        <v>1</v>
      </c>
      <c r="C3" s="6" t="s">
        <v>4</v>
      </c>
      <c r="D3" s="7" t="s">
        <v>3</v>
      </c>
      <c r="E3" s="39" t="s">
        <v>6</v>
      </c>
      <c r="F3" s="39"/>
      <c r="G3" s="39"/>
      <c r="H3" s="39" t="s">
        <v>10</v>
      </c>
      <c r="I3" s="39"/>
      <c r="J3" s="39"/>
      <c r="K3" s="39"/>
      <c r="L3" s="39"/>
      <c r="M3" s="39" t="s">
        <v>16</v>
      </c>
      <c r="N3" s="39"/>
      <c r="O3" s="39"/>
      <c r="P3" s="39"/>
      <c r="Q3" s="39"/>
      <c r="R3" s="39"/>
      <c r="S3" s="39"/>
      <c r="T3" s="39" t="s">
        <v>24</v>
      </c>
      <c r="U3" s="39"/>
      <c r="V3" s="39"/>
      <c r="W3" s="39"/>
      <c r="X3" s="39"/>
      <c r="Y3" s="39"/>
      <c r="Z3" s="39"/>
      <c r="AA3" s="39" t="s">
        <v>32</v>
      </c>
      <c r="AB3" s="39"/>
      <c r="AC3" s="39"/>
      <c r="AD3" s="39"/>
      <c r="AE3" s="39"/>
    </row>
    <row r="4" spans="1:32" s="2" customFormat="1" ht="111" customHeight="1" x14ac:dyDescent="0.2">
      <c r="A4" s="8"/>
      <c r="B4" s="8"/>
      <c r="C4" s="8"/>
      <c r="D4" s="9"/>
      <c r="E4" s="9" t="s">
        <v>7</v>
      </c>
      <c r="F4" s="9" t="s">
        <v>8</v>
      </c>
      <c r="G4" s="9" t="s">
        <v>9</v>
      </c>
      <c r="H4" s="9" t="s">
        <v>11</v>
      </c>
      <c r="I4" s="9" t="s">
        <v>12</v>
      </c>
      <c r="J4" s="9" t="s">
        <v>13</v>
      </c>
      <c r="K4" s="9" t="s">
        <v>14</v>
      </c>
      <c r="L4" s="9" t="s">
        <v>15</v>
      </c>
      <c r="M4" s="9" t="s">
        <v>17</v>
      </c>
      <c r="N4" s="9" t="s">
        <v>18</v>
      </c>
      <c r="O4" s="9" t="s">
        <v>19</v>
      </c>
      <c r="P4" s="9" t="s">
        <v>20</v>
      </c>
      <c r="Q4" s="9" t="s">
        <v>21</v>
      </c>
      <c r="R4" s="9" t="s">
        <v>22</v>
      </c>
      <c r="S4" s="9" t="s">
        <v>23</v>
      </c>
      <c r="T4" s="9" t="s">
        <v>25</v>
      </c>
      <c r="U4" s="9" t="s">
        <v>26</v>
      </c>
      <c r="V4" s="9" t="s">
        <v>27</v>
      </c>
      <c r="W4" s="9" t="s">
        <v>28</v>
      </c>
      <c r="X4" s="9" t="s">
        <v>30</v>
      </c>
      <c r="Y4" s="9" t="s">
        <v>31</v>
      </c>
      <c r="Z4" s="9" t="s">
        <v>29</v>
      </c>
      <c r="AA4" s="9" t="s">
        <v>6</v>
      </c>
      <c r="AB4" s="9" t="s">
        <v>10</v>
      </c>
      <c r="AC4" s="9" t="s">
        <v>16</v>
      </c>
      <c r="AD4" s="9" t="s">
        <v>24</v>
      </c>
      <c r="AE4" s="10" t="s">
        <v>32</v>
      </c>
      <c r="AF4" s="3"/>
    </row>
    <row r="5" spans="1:32" x14ac:dyDescent="0.25">
      <c r="A5" s="11"/>
      <c r="B5" t="s">
        <v>38</v>
      </c>
      <c r="C5" s="11" t="s">
        <v>5</v>
      </c>
      <c r="D5" s="11">
        <v>1.1000000000000001</v>
      </c>
      <c r="E5" s="11">
        <v>4.3</v>
      </c>
      <c r="F5" s="11">
        <v>11</v>
      </c>
      <c r="G5" s="12">
        <f>SUM(E5-D5-F5)</f>
        <v>-7.8000000000000007</v>
      </c>
      <c r="H5" s="11"/>
      <c r="I5" s="11"/>
      <c r="J5" s="11"/>
      <c r="K5" s="11"/>
      <c r="L5" s="13">
        <f>SUM(H5+I5+J5+K5)</f>
        <v>0</v>
      </c>
      <c r="M5" s="11"/>
      <c r="N5" s="11"/>
      <c r="O5" s="11"/>
      <c r="P5" s="11"/>
      <c r="Q5" s="11"/>
      <c r="R5" s="11"/>
      <c r="S5" s="14">
        <f>SUM(M5+N5+O5+P5+Q5+R5)</f>
        <v>0</v>
      </c>
      <c r="T5" s="11"/>
      <c r="U5" s="11"/>
      <c r="V5" s="11"/>
      <c r="W5" s="11"/>
      <c r="X5" s="11"/>
      <c r="Y5" s="11">
        <v>-6</v>
      </c>
      <c r="Z5" s="15">
        <f>SUM(T5+U5+V5+W5+X5+Y5)</f>
        <v>-6</v>
      </c>
      <c r="AA5" s="12">
        <f>SUM(G5)</f>
        <v>-7.8000000000000007</v>
      </c>
      <c r="AB5" s="13">
        <f>SUM(L5)</f>
        <v>0</v>
      </c>
      <c r="AC5" s="14">
        <f>SUM(S5)</f>
        <v>0</v>
      </c>
      <c r="AD5" s="15">
        <f>SUM(Z5)</f>
        <v>-6</v>
      </c>
      <c r="AE5" s="16">
        <f>SUM(G5+L5+S5+Z5)</f>
        <v>-13.8</v>
      </c>
    </row>
    <row r="6" spans="1:32" x14ac:dyDescent="0.25">
      <c r="A6" s="11"/>
      <c r="B6" t="s">
        <v>33</v>
      </c>
      <c r="C6" s="11" t="s">
        <v>46</v>
      </c>
      <c r="D6" s="11">
        <v>1</v>
      </c>
      <c r="E6" s="11">
        <v>4.5</v>
      </c>
      <c r="F6" s="11">
        <v>8</v>
      </c>
      <c r="G6" s="12">
        <f t="shared" ref="G6:G17" si="0">SUM(E6-D6-F6)</f>
        <v>-4.5</v>
      </c>
      <c r="H6" s="11"/>
      <c r="I6" s="11"/>
      <c r="J6" s="11"/>
      <c r="K6" s="11"/>
      <c r="L6" s="13">
        <f t="shared" ref="L6:L17" si="1">SUM(H6+I6+J6+K6)</f>
        <v>0</v>
      </c>
      <c r="M6" s="11"/>
      <c r="N6" s="11"/>
      <c r="O6" s="11"/>
      <c r="P6" s="11"/>
      <c r="Q6" s="11"/>
      <c r="R6" s="11"/>
      <c r="S6" s="14">
        <f t="shared" ref="S6:S17" si="2">SUM(M6+N6+O6+P6+Q6+R6)</f>
        <v>0</v>
      </c>
      <c r="T6" s="11"/>
      <c r="U6" s="11"/>
      <c r="V6" s="11"/>
      <c r="W6" s="11"/>
      <c r="X6" s="11"/>
      <c r="Y6" s="11">
        <v>-6</v>
      </c>
      <c r="Z6" s="15">
        <f t="shared" ref="Z6:Z17" si="3">SUM(T6+U6+V6+W6+X6+Y6)</f>
        <v>-6</v>
      </c>
      <c r="AA6" s="12">
        <f t="shared" ref="AA6:AA17" si="4">SUM(G6)</f>
        <v>-4.5</v>
      </c>
      <c r="AB6" s="13">
        <f t="shared" ref="AB6:AB17" si="5">SUM(L6)</f>
        <v>0</v>
      </c>
      <c r="AC6" s="14">
        <f t="shared" ref="AC6:AC17" si="6">SUM(S6)</f>
        <v>0</v>
      </c>
      <c r="AD6" s="15">
        <f t="shared" ref="AD6:AD17" si="7">SUM(Z6)</f>
        <v>-6</v>
      </c>
      <c r="AE6" s="16">
        <f t="shared" ref="AE6:AE17" si="8">SUM(G6+L6+S6+Z6)</f>
        <v>-10.5</v>
      </c>
    </row>
    <row r="7" spans="1:32" x14ac:dyDescent="0.25">
      <c r="A7" s="11"/>
      <c r="B7" t="s">
        <v>34</v>
      </c>
      <c r="C7" s="11" t="s">
        <v>5</v>
      </c>
      <c r="D7" s="11">
        <v>1.1000000000000001</v>
      </c>
      <c r="E7" s="11">
        <v>4.7</v>
      </c>
      <c r="F7" s="11">
        <v>9</v>
      </c>
      <c r="G7" s="12">
        <f t="shared" si="0"/>
        <v>-5.4</v>
      </c>
      <c r="H7" s="11"/>
      <c r="I7" s="11"/>
      <c r="J7" s="11"/>
      <c r="K7" s="11"/>
      <c r="L7" s="13">
        <f t="shared" si="1"/>
        <v>0</v>
      </c>
      <c r="M7" s="11"/>
      <c r="N7" s="11"/>
      <c r="O7" s="11"/>
      <c r="P7" s="11"/>
      <c r="Q7" s="11"/>
      <c r="R7" s="11"/>
      <c r="S7" s="14">
        <f t="shared" si="2"/>
        <v>0</v>
      </c>
      <c r="T7" s="11"/>
      <c r="U7" s="11"/>
      <c r="V7" s="11"/>
      <c r="W7" s="11"/>
      <c r="X7" s="11"/>
      <c r="Y7" s="11">
        <v>-6</v>
      </c>
      <c r="Z7" s="15">
        <f t="shared" si="3"/>
        <v>-6</v>
      </c>
      <c r="AA7" s="12">
        <f t="shared" si="4"/>
        <v>-5.4</v>
      </c>
      <c r="AB7" s="13">
        <f t="shared" si="5"/>
        <v>0</v>
      </c>
      <c r="AC7" s="14">
        <f t="shared" si="6"/>
        <v>0</v>
      </c>
      <c r="AD7" s="15">
        <f t="shared" si="7"/>
        <v>-6</v>
      </c>
      <c r="AE7" s="16">
        <f t="shared" si="8"/>
        <v>-11.4</v>
      </c>
    </row>
    <row r="8" spans="1:32" x14ac:dyDescent="0.25">
      <c r="A8" s="11"/>
      <c r="B8" t="s">
        <v>35</v>
      </c>
      <c r="C8" s="11" t="s">
        <v>47</v>
      </c>
      <c r="D8" s="11">
        <v>0.9</v>
      </c>
      <c r="E8" s="11">
        <v>4.8</v>
      </c>
      <c r="F8" s="11">
        <v>5</v>
      </c>
      <c r="G8" s="12">
        <f t="shared" si="0"/>
        <v>-1.1000000000000001</v>
      </c>
      <c r="H8" s="11"/>
      <c r="I8" s="11"/>
      <c r="J8" s="11"/>
      <c r="K8" s="11"/>
      <c r="L8" s="13">
        <f t="shared" si="1"/>
        <v>0</v>
      </c>
      <c r="M8" s="11"/>
      <c r="N8" s="11"/>
      <c r="O8" s="11"/>
      <c r="P8" s="11"/>
      <c r="Q8" s="11"/>
      <c r="R8" s="11"/>
      <c r="S8" s="14">
        <f t="shared" si="2"/>
        <v>0</v>
      </c>
      <c r="T8" s="11"/>
      <c r="U8" s="11"/>
      <c r="V8" s="11"/>
      <c r="W8" s="11"/>
      <c r="X8" s="11"/>
      <c r="Y8" s="11">
        <v>-6</v>
      </c>
      <c r="Z8" s="15">
        <f t="shared" si="3"/>
        <v>-6</v>
      </c>
      <c r="AA8" s="12">
        <f t="shared" si="4"/>
        <v>-1.1000000000000001</v>
      </c>
      <c r="AB8" s="13">
        <f t="shared" si="5"/>
        <v>0</v>
      </c>
      <c r="AC8" s="14">
        <f t="shared" si="6"/>
        <v>0</v>
      </c>
      <c r="AD8" s="15">
        <f t="shared" si="7"/>
        <v>-6</v>
      </c>
      <c r="AE8" s="16">
        <f t="shared" si="8"/>
        <v>-7.1</v>
      </c>
    </row>
    <row r="9" spans="1:32" x14ac:dyDescent="0.25">
      <c r="A9" s="11"/>
      <c r="B9" t="s">
        <v>36</v>
      </c>
      <c r="C9" s="11" t="s">
        <v>49</v>
      </c>
      <c r="D9" s="11">
        <v>1.1000000000000001</v>
      </c>
      <c r="E9" s="11">
        <v>4.7</v>
      </c>
      <c r="F9" s="11">
        <v>3</v>
      </c>
      <c r="G9" s="12">
        <f t="shared" si="0"/>
        <v>0.60000000000000009</v>
      </c>
      <c r="H9" s="11"/>
      <c r="I9" s="11"/>
      <c r="J9" s="11"/>
      <c r="K9" s="11"/>
      <c r="L9" s="13">
        <f t="shared" si="1"/>
        <v>0</v>
      </c>
      <c r="M9" s="11"/>
      <c r="N9" s="11"/>
      <c r="O9" s="11"/>
      <c r="P9" s="11"/>
      <c r="Q9" s="11"/>
      <c r="R9" s="11"/>
      <c r="S9" s="14">
        <f t="shared" si="2"/>
        <v>0</v>
      </c>
      <c r="T9" s="11"/>
      <c r="U9" s="11"/>
      <c r="V9" s="11"/>
      <c r="W9" s="11"/>
      <c r="X9" s="11"/>
      <c r="Y9" s="11">
        <v>-6</v>
      </c>
      <c r="Z9" s="15">
        <f t="shared" si="3"/>
        <v>-6</v>
      </c>
      <c r="AA9" s="12">
        <f t="shared" si="4"/>
        <v>0.60000000000000009</v>
      </c>
      <c r="AB9" s="13">
        <f t="shared" si="5"/>
        <v>0</v>
      </c>
      <c r="AC9" s="14">
        <f t="shared" si="6"/>
        <v>0</v>
      </c>
      <c r="AD9" s="15">
        <f t="shared" si="7"/>
        <v>-6</v>
      </c>
      <c r="AE9" s="16">
        <f t="shared" si="8"/>
        <v>-5.4</v>
      </c>
    </row>
    <row r="10" spans="1:32" x14ac:dyDescent="0.25">
      <c r="A10" s="11"/>
      <c r="B10" t="s">
        <v>37</v>
      </c>
      <c r="C10" s="11" t="s">
        <v>48</v>
      </c>
      <c r="D10" s="11">
        <v>0.9</v>
      </c>
      <c r="E10" s="11">
        <v>4.7</v>
      </c>
      <c r="F10" s="11">
        <v>4</v>
      </c>
      <c r="G10" s="12">
        <f t="shared" si="0"/>
        <v>-0.19999999999999973</v>
      </c>
      <c r="H10" s="11"/>
      <c r="I10" s="11"/>
      <c r="J10" s="11"/>
      <c r="K10" s="11"/>
      <c r="L10" s="13">
        <f t="shared" si="1"/>
        <v>0</v>
      </c>
      <c r="M10" s="11"/>
      <c r="N10" s="11"/>
      <c r="O10" s="11"/>
      <c r="P10" s="11"/>
      <c r="Q10" s="11"/>
      <c r="R10" s="11"/>
      <c r="S10" s="14">
        <f t="shared" si="2"/>
        <v>0</v>
      </c>
      <c r="T10" s="11"/>
      <c r="U10" s="11"/>
      <c r="V10" s="11"/>
      <c r="W10" s="11"/>
      <c r="X10" s="11"/>
      <c r="Y10" s="11">
        <v>-6</v>
      </c>
      <c r="Z10" s="15">
        <f t="shared" si="3"/>
        <v>-6</v>
      </c>
      <c r="AA10" s="12">
        <f t="shared" si="4"/>
        <v>-0.19999999999999973</v>
      </c>
      <c r="AB10" s="13">
        <f t="shared" si="5"/>
        <v>0</v>
      </c>
      <c r="AC10" s="14">
        <f t="shared" si="6"/>
        <v>0</v>
      </c>
      <c r="AD10" s="15">
        <f t="shared" si="7"/>
        <v>-6</v>
      </c>
      <c r="AE10" s="16">
        <f t="shared" si="8"/>
        <v>-6.1999999999999993</v>
      </c>
    </row>
    <row r="11" spans="1:32" x14ac:dyDescent="0.25">
      <c r="A11" s="11"/>
      <c r="B11" t="s">
        <v>39</v>
      </c>
      <c r="C11" s="11" t="s">
        <v>49</v>
      </c>
      <c r="D11" s="11">
        <v>1</v>
      </c>
      <c r="E11" s="11">
        <v>4.5999999999999996</v>
      </c>
      <c r="F11" s="11">
        <v>7</v>
      </c>
      <c r="G11" s="12">
        <f t="shared" si="0"/>
        <v>-3.4000000000000004</v>
      </c>
      <c r="H11" s="11"/>
      <c r="I11" s="11"/>
      <c r="J11" s="11"/>
      <c r="K11" s="11"/>
      <c r="L11" s="13">
        <f t="shared" si="1"/>
        <v>0</v>
      </c>
      <c r="M11" s="11"/>
      <c r="N11" s="11"/>
      <c r="O11" s="11"/>
      <c r="P11" s="11"/>
      <c r="Q11" s="11"/>
      <c r="R11" s="11"/>
      <c r="S11" s="14">
        <f t="shared" si="2"/>
        <v>0</v>
      </c>
      <c r="T11" s="11"/>
      <c r="U11" s="11"/>
      <c r="V11" s="11"/>
      <c r="W11" s="11"/>
      <c r="X11" s="11"/>
      <c r="Y11" s="11">
        <v>-6</v>
      </c>
      <c r="Z11" s="15">
        <f t="shared" si="3"/>
        <v>-6</v>
      </c>
      <c r="AA11" s="12">
        <f t="shared" si="4"/>
        <v>-3.4000000000000004</v>
      </c>
      <c r="AB11" s="13">
        <f t="shared" si="5"/>
        <v>0</v>
      </c>
      <c r="AC11" s="14">
        <f t="shared" si="6"/>
        <v>0</v>
      </c>
      <c r="AD11" s="15">
        <f t="shared" si="7"/>
        <v>-6</v>
      </c>
      <c r="AE11" s="16">
        <f t="shared" si="8"/>
        <v>-9.4</v>
      </c>
    </row>
    <row r="12" spans="1:32" x14ac:dyDescent="0.25">
      <c r="A12" s="11"/>
      <c r="B12" t="s">
        <v>40</v>
      </c>
      <c r="C12" s="11" t="s">
        <v>50</v>
      </c>
      <c r="D12" s="11">
        <v>0.8</v>
      </c>
      <c r="E12" s="11">
        <v>4.5</v>
      </c>
      <c r="F12" s="11">
        <v>10</v>
      </c>
      <c r="G12" s="12">
        <f t="shared" si="0"/>
        <v>-6.3</v>
      </c>
      <c r="H12" s="11"/>
      <c r="I12" s="11"/>
      <c r="J12" s="11"/>
      <c r="K12" s="11"/>
      <c r="L12" s="13">
        <f t="shared" si="1"/>
        <v>0</v>
      </c>
      <c r="M12" s="11"/>
      <c r="N12" s="11"/>
      <c r="O12" s="11"/>
      <c r="P12" s="11"/>
      <c r="Q12" s="11"/>
      <c r="R12" s="11"/>
      <c r="S12" s="14">
        <f t="shared" si="2"/>
        <v>0</v>
      </c>
      <c r="T12" s="11"/>
      <c r="U12" s="11"/>
      <c r="V12" s="11"/>
      <c r="W12" s="11"/>
      <c r="X12" s="11"/>
      <c r="Y12" s="11">
        <v>-6</v>
      </c>
      <c r="Z12" s="15">
        <f t="shared" si="3"/>
        <v>-6</v>
      </c>
      <c r="AA12" s="12">
        <f t="shared" si="4"/>
        <v>-6.3</v>
      </c>
      <c r="AB12" s="13">
        <f t="shared" si="5"/>
        <v>0</v>
      </c>
      <c r="AC12" s="14">
        <f t="shared" si="6"/>
        <v>0</v>
      </c>
      <c r="AD12" s="15">
        <f t="shared" si="7"/>
        <v>-6</v>
      </c>
      <c r="AE12" s="16">
        <f t="shared" si="8"/>
        <v>-12.3</v>
      </c>
    </row>
    <row r="13" spans="1:32" x14ac:dyDescent="0.25">
      <c r="A13" s="11"/>
      <c r="B13" t="s">
        <v>41</v>
      </c>
      <c r="C13" s="11" t="s">
        <v>48</v>
      </c>
      <c r="D13" s="11">
        <v>0.9</v>
      </c>
      <c r="E13" s="11">
        <v>4.0999999999999996</v>
      </c>
      <c r="F13" s="11">
        <v>8</v>
      </c>
      <c r="G13" s="12">
        <f t="shared" si="0"/>
        <v>-4.8000000000000007</v>
      </c>
      <c r="H13" s="11"/>
      <c r="I13" s="11"/>
      <c r="J13" s="11"/>
      <c r="K13" s="11"/>
      <c r="L13" s="13">
        <f t="shared" si="1"/>
        <v>0</v>
      </c>
      <c r="M13" s="11"/>
      <c r="N13" s="11"/>
      <c r="O13" s="11"/>
      <c r="P13" s="11"/>
      <c r="Q13" s="11"/>
      <c r="R13" s="11"/>
      <c r="S13" s="14">
        <f t="shared" si="2"/>
        <v>0</v>
      </c>
      <c r="T13" s="11"/>
      <c r="U13" s="11"/>
      <c r="V13" s="11"/>
      <c r="W13" s="11"/>
      <c r="X13" s="11"/>
      <c r="Y13" s="11">
        <v>-6</v>
      </c>
      <c r="Z13" s="15">
        <f t="shared" si="3"/>
        <v>-6</v>
      </c>
      <c r="AA13" s="12">
        <f t="shared" si="4"/>
        <v>-4.8000000000000007</v>
      </c>
      <c r="AB13" s="13">
        <f t="shared" si="5"/>
        <v>0</v>
      </c>
      <c r="AC13" s="14">
        <f t="shared" si="6"/>
        <v>0</v>
      </c>
      <c r="AD13" s="15">
        <f t="shared" si="7"/>
        <v>-6</v>
      </c>
      <c r="AE13" s="16">
        <f t="shared" si="8"/>
        <v>-10.8</v>
      </c>
    </row>
    <row r="14" spans="1:32" x14ac:dyDescent="0.25">
      <c r="A14" s="11"/>
      <c r="B14" t="s">
        <v>42</v>
      </c>
      <c r="C14" s="11" t="s">
        <v>49</v>
      </c>
      <c r="D14" s="11">
        <v>1.1000000000000001</v>
      </c>
      <c r="E14" s="11">
        <v>4.9000000000000004</v>
      </c>
      <c r="F14" s="11">
        <v>11</v>
      </c>
      <c r="G14" s="12">
        <f t="shared" si="0"/>
        <v>-7.1999999999999993</v>
      </c>
      <c r="H14" s="11"/>
      <c r="I14" s="11"/>
      <c r="J14" s="11"/>
      <c r="K14" s="11"/>
      <c r="L14" s="13">
        <f t="shared" si="1"/>
        <v>0</v>
      </c>
      <c r="M14" s="11"/>
      <c r="N14" s="11"/>
      <c r="O14" s="11"/>
      <c r="P14" s="11"/>
      <c r="Q14" s="11"/>
      <c r="R14" s="11"/>
      <c r="S14" s="14">
        <f t="shared" si="2"/>
        <v>0</v>
      </c>
      <c r="T14" s="11"/>
      <c r="U14" s="11"/>
      <c r="V14" s="11"/>
      <c r="W14" s="11"/>
      <c r="X14" s="11"/>
      <c r="Y14" s="11">
        <v>-6</v>
      </c>
      <c r="Z14" s="15">
        <f t="shared" si="3"/>
        <v>-6</v>
      </c>
      <c r="AA14" s="12">
        <f t="shared" si="4"/>
        <v>-7.1999999999999993</v>
      </c>
      <c r="AB14" s="13">
        <f t="shared" si="5"/>
        <v>0</v>
      </c>
      <c r="AC14" s="14">
        <f t="shared" si="6"/>
        <v>0</v>
      </c>
      <c r="AD14" s="15">
        <f t="shared" si="7"/>
        <v>-6</v>
      </c>
      <c r="AE14" s="16">
        <f t="shared" si="8"/>
        <v>-13.2</v>
      </c>
    </row>
    <row r="15" spans="1:32" x14ac:dyDescent="0.25">
      <c r="A15" s="11"/>
      <c r="B15" t="s">
        <v>43</v>
      </c>
      <c r="C15" s="11" t="s">
        <v>51</v>
      </c>
      <c r="D15" s="11">
        <v>0.6</v>
      </c>
      <c r="E15" s="11">
        <v>4.3</v>
      </c>
      <c r="F15" s="11">
        <v>3</v>
      </c>
      <c r="G15" s="12">
        <f t="shared" si="0"/>
        <v>0.69999999999999973</v>
      </c>
      <c r="H15" s="11"/>
      <c r="I15" s="11"/>
      <c r="J15" s="11"/>
      <c r="K15" s="11"/>
      <c r="L15" s="13">
        <f t="shared" si="1"/>
        <v>0</v>
      </c>
      <c r="M15" s="11"/>
      <c r="N15" s="11"/>
      <c r="O15" s="11"/>
      <c r="P15" s="11"/>
      <c r="Q15" s="11"/>
      <c r="R15" s="11"/>
      <c r="S15" s="14">
        <f t="shared" si="2"/>
        <v>0</v>
      </c>
      <c r="T15" s="11"/>
      <c r="U15" s="11"/>
      <c r="V15" s="11"/>
      <c r="W15" s="11"/>
      <c r="X15" s="11"/>
      <c r="Y15" s="11">
        <v>-6</v>
      </c>
      <c r="Z15" s="15">
        <f t="shared" si="3"/>
        <v>-6</v>
      </c>
      <c r="AA15" s="12">
        <f t="shared" si="4"/>
        <v>0.69999999999999973</v>
      </c>
      <c r="AB15" s="13">
        <f t="shared" si="5"/>
        <v>0</v>
      </c>
      <c r="AC15" s="14">
        <f t="shared" si="6"/>
        <v>0</v>
      </c>
      <c r="AD15" s="15">
        <f t="shared" si="7"/>
        <v>-6</v>
      </c>
      <c r="AE15" s="16">
        <f t="shared" si="8"/>
        <v>-5.3000000000000007</v>
      </c>
    </row>
    <row r="16" spans="1:32" x14ac:dyDescent="0.25">
      <c r="A16" s="11"/>
      <c r="B16" t="s">
        <v>44</v>
      </c>
      <c r="C16" s="11" t="s">
        <v>5</v>
      </c>
      <c r="D16" s="11">
        <v>1.1000000000000001</v>
      </c>
      <c r="E16" s="11">
        <v>4.4000000000000004</v>
      </c>
      <c r="F16" s="11">
        <v>10</v>
      </c>
      <c r="G16" s="12">
        <f t="shared" si="0"/>
        <v>-6.6999999999999993</v>
      </c>
      <c r="H16" s="11"/>
      <c r="I16" s="11"/>
      <c r="J16" s="11"/>
      <c r="K16" s="11"/>
      <c r="L16" s="13">
        <f t="shared" si="1"/>
        <v>0</v>
      </c>
      <c r="M16" s="11"/>
      <c r="N16" s="11"/>
      <c r="O16" s="11"/>
      <c r="P16" s="11"/>
      <c r="Q16" s="11"/>
      <c r="R16" s="11"/>
      <c r="S16" s="14">
        <f t="shared" si="2"/>
        <v>0</v>
      </c>
      <c r="T16" s="11"/>
      <c r="U16" s="11"/>
      <c r="V16" s="11"/>
      <c r="W16" s="11"/>
      <c r="X16" s="11"/>
      <c r="Y16" s="11">
        <v>-6</v>
      </c>
      <c r="Z16" s="15">
        <f t="shared" si="3"/>
        <v>-6</v>
      </c>
      <c r="AA16" s="12">
        <f t="shared" si="4"/>
        <v>-6.6999999999999993</v>
      </c>
      <c r="AB16" s="13">
        <f t="shared" si="5"/>
        <v>0</v>
      </c>
      <c r="AC16" s="14">
        <f t="shared" si="6"/>
        <v>0</v>
      </c>
      <c r="AD16" s="15">
        <f t="shared" si="7"/>
        <v>-6</v>
      </c>
      <c r="AE16" s="16">
        <f t="shared" si="8"/>
        <v>-12.7</v>
      </c>
    </row>
    <row r="17" spans="1:31" x14ac:dyDescent="0.25">
      <c r="A17" s="11"/>
      <c r="B17" t="s">
        <v>45</v>
      </c>
      <c r="C17" s="11" t="s">
        <v>52</v>
      </c>
      <c r="D17" s="11">
        <v>1</v>
      </c>
      <c r="E17" s="11">
        <v>4.3</v>
      </c>
      <c r="F17" s="11">
        <v>8</v>
      </c>
      <c r="G17" s="12">
        <f t="shared" si="0"/>
        <v>-4.7</v>
      </c>
      <c r="H17" s="11"/>
      <c r="I17" s="11"/>
      <c r="J17" s="11"/>
      <c r="K17" s="11"/>
      <c r="L17" s="13">
        <f t="shared" si="1"/>
        <v>0</v>
      </c>
      <c r="M17" s="11"/>
      <c r="N17" s="11"/>
      <c r="O17" s="11"/>
      <c r="P17" s="11"/>
      <c r="Q17" s="11"/>
      <c r="R17" s="11"/>
      <c r="S17" s="14">
        <f t="shared" si="2"/>
        <v>0</v>
      </c>
      <c r="T17" s="11"/>
      <c r="U17" s="11"/>
      <c r="V17" s="11"/>
      <c r="W17" s="11"/>
      <c r="X17" s="11"/>
      <c r="Y17" s="11">
        <v>-6</v>
      </c>
      <c r="Z17" s="15">
        <f t="shared" si="3"/>
        <v>-6</v>
      </c>
      <c r="AA17" s="12">
        <f t="shared" si="4"/>
        <v>-4.7</v>
      </c>
      <c r="AB17" s="13">
        <f t="shared" si="5"/>
        <v>0</v>
      </c>
      <c r="AC17" s="14">
        <f t="shared" si="6"/>
        <v>0</v>
      </c>
      <c r="AD17" s="15">
        <f t="shared" si="7"/>
        <v>-6</v>
      </c>
      <c r="AE17" s="16">
        <f t="shared" si="8"/>
        <v>-10.7</v>
      </c>
    </row>
  </sheetData>
  <mergeCells count="5">
    <mergeCell ref="T3:Z3"/>
    <mergeCell ref="AA3:AE3"/>
    <mergeCell ref="E3:G3"/>
    <mergeCell ref="H3:L3"/>
    <mergeCell ref="M3:S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E53200-8515-411C-B25E-E6DF6273D5A7}">
  <dimension ref="A1:AD17"/>
  <sheetViews>
    <sheetView topLeftCell="E4" workbookViewId="0">
      <selection activeCell="E18" sqref="E18"/>
    </sheetView>
  </sheetViews>
  <sheetFormatPr defaultRowHeight="15" x14ac:dyDescent="0.25"/>
  <cols>
    <col min="1" max="1" width="3.42578125" customWidth="1"/>
    <col min="2" max="3" width="19.28515625" customWidth="1"/>
    <col min="4" max="4" width="11.7109375" customWidth="1"/>
    <col min="6" max="9" width="11.140625" customWidth="1"/>
    <col min="11" max="11" width="13.85546875" customWidth="1"/>
    <col min="12" max="12" width="17.28515625" customWidth="1"/>
    <col min="13" max="13" width="13.28515625" customWidth="1"/>
    <col min="14" max="17" width="11.140625" customWidth="1"/>
    <col min="29" max="29" width="9.140625" style="5"/>
  </cols>
  <sheetData>
    <row r="1" spans="1:30" x14ac:dyDescent="0.25">
      <c r="B1" t="s">
        <v>0</v>
      </c>
      <c r="C1" t="s">
        <v>53</v>
      </c>
    </row>
    <row r="3" spans="1:30" ht="41.25" customHeight="1" x14ac:dyDescent="0.25">
      <c r="A3" s="6" t="s">
        <v>2</v>
      </c>
      <c r="B3" s="6" t="s">
        <v>1</v>
      </c>
      <c r="C3" s="6" t="s">
        <v>4</v>
      </c>
      <c r="D3" s="7" t="s">
        <v>3</v>
      </c>
      <c r="E3" s="39" t="s">
        <v>54</v>
      </c>
      <c r="F3" s="39"/>
      <c r="G3" s="39"/>
      <c r="H3" s="39"/>
      <c r="I3" s="39"/>
      <c r="J3" s="39"/>
      <c r="K3" s="39" t="s">
        <v>60</v>
      </c>
      <c r="L3" s="39"/>
      <c r="M3" s="39"/>
      <c r="N3" s="39"/>
      <c r="O3" s="39"/>
      <c r="P3" s="39"/>
      <c r="Q3" s="39"/>
      <c r="R3" s="39"/>
      <c r="S3" s="39" t="s">
        <v>67</v>
      </c>
      <c r="T3" s="39"/>
      <c r="U3" s="39"/>
      <c r="V3" s="39"/>
      <c r="W3" s="39"/>
      <c r="X3" s="39"/>
      <c r="Y3" s="39"/>
      <c r="Z3" s="39" t="s">
        <v>32</v>
      </c>
      <c r="AA3" s="39"/>
      <c r="AB3" s="39"/>
      <c r="AC3" s="39"/>
    </row>
    <row r="4" spans="1:30" s="2" customFormat="1" ht="111" customHeight="1" x14ac:dyDescent="0.2">
      <c r="A4" s="8"/>
      <c r="B4" s="8"/>
      <c r="C4" s="8"/>
      <c r="D4" s="9"/>
      <c r="E4" s="9" t="s">
        <v>55</v>
      </c>
      <c r="F4" s="9" t="s">
        <v>56</v>
      </c>
      <c r="G4" s="9" t="s">
        <v>57</v>
      </c>
      <c r="H4" s="9" t="s">
        <v>58</v>
      </c>
      <c r="I4" s="9" t="s">
        <v>59</v>
      </c>
      <c r="J4" s="9" t="s">
        <v>9</v>
      </c>
      <c r="K4" s="9" t="s">
        <v>61</v>
      </c>
      <c r="L4" s="9" t="s">
        <v>62</v>
      </c>
      <c r="M4" s="9" t="s">
        <v>63</v>
      </c>
      <c r="N4" s="9" t="s">
        <v>14</v>
      </c>
      <c r="O4" s="9" t="s">
        <v>64</v>
      </c>
      <c r="P4" s="9" t="s">
        <v>65</v>
      </c>
      <c r="Q4" s="9" t="s">
        <v>66</v>
      </c>
      <c r="R4" s="9" t="s">
        <v>23</v>
      </c>
      <c r="S4" s="9" t="s">
        <v>68</v>
      </c>
      <c r="T4" s="9" t="s">
        <v>69</v>
      </c>
      <c r="U4" s="9" t="s">
        <v>70</v>
      </c>
      <c r="V4" s="9" t="s">
        <v>71</v>
      </c>
      <c r="W4" s="9" t="s">
        <v>72</v>
      </c>
      <c r="X4" s="9" t="s">
        <v>73</v>
      </c>
      <c r="Y4" s="9" t="s">
        <v>74</v>
      </c>
      <c r="Z4" s="9" t="s">
        <v>75</v>
      </c>
      <c r="AA4" s="9" t="s">
        <v>60</v>
      </c>
      <c r="AB4" s="9" t="s">
        <v>67</v>
      </c>
      <c r="AC4" s="10" t="s">
        <v>32</v>
      </c>
      <c r="AD4" s="3"/>
    </row>
    <row r="5" spans="1:30" x14ac:dyDescent="0.25">
      <c r="A5" s="11"/>
      <c r="B5" s="6" t="s">
        <v>38</v>
      </c>
      <c r="C5" s="11" t="s">
        <v>5</v>
      </c>
      <c r="D5" s="11">
        <v>1.1000000000000001</v>
      </c>
      <c r="E5" s="11">
        <v>1</v>
      </c>
      <c r="F5" s="11">
        <v>2</v>
      </c>
      <c r="G5" s="11">
        <v>3</v>
      </c>
      <c r="H5" s="11">
        <v>5</v>
      </c>
      <c r="I5" s="11">
        <v>5</v>
      </c>
      <c r="J5" s="12">
        <f>SUM(E5+F5+G5+H5+I5)</f>
        <v>16</v>
      </c>
      <c r="K5" s="11"/>
      <c r="L5" s="11"/>
      <c r="M5" s="11"/>
      <c r="N5" s="11"/>
      <c r="O5" s="11"/>
      <c r="P5" s="11"/>
      <c r="Q5" s="11"/>
      <c r="R5" s="13">
        <f>SUM(K5+L5+M5+N5+O5+P5+Q5)</f>
        <v>0</v>
      </c>
      <c r="S5" s="11"/>
      <c r="T5" s="11"/>
      <c r="U5" s="11"/>
      <c r="V5" s="11"/>
      <c r="W5" s="11"/>
      <c r="X5" s="11"/>
      <c r="Y5" s="14">
        <f>SUM(S5+T5+U5+V5+W5+X5)</f>
        <v>0</v>
      </c>
      <c r="Z5" s="12">
        <f t="shared" ref="Z5:Z17" si="0">SUM(J5)</f>
        <v>16</v>
      </c>
      <c r="AA5" s="13">
        <f t="shared" ref="AA5:AA17" si="1">SUM(R5)</f>
        <v>0</v>
      </c>
      <c r="AB5" s="14">
        <f t="shared" ref="AB5:AB17" si="2">SUM(Y5)</f>
        <v>0</v>
      </c>
      <c r="AC5" s="16">
        <f>SUM(J5+R5+Y5)</f>
        <v>16</v>
      </c>
    </row>
    <row r="6" spans="1:30" x14ac:dyDescent="0.25">
      <c r="A6" s="11"/>
      <c r="B6" s="6" t="s">
        <v>33</v>
      </c>
      <c r="C6" s="11" t="s">
        <v>46</v>
      </c>
      <c r="D6" s="11">
        <v>1</v>
      </c>
      <c r="E6" s="11">
        <v>4.5</v>
      </c>
      <c r="F6" s="11">
        <v>8</v>
      </c>
      <c r="G6" s="11"/>
      <c r="H6" s="11"/>
      <c r="I6" s="11"/>
      <c r="J6" s="12">
        <f t="shared" ref="J6:J17" si="3">SUM(E6+F6+G6+H6+I6)</f>
        <v>12.5</v>
      </c>
      <c r="K6" s="11"/>
      <c r="L6" s="11"/>
      <c r="M6" s="11"/>
      <c r="N6" s="11"/>
      <c r="O6" s="11"/>
      <c r="P6" s="11"/>
      <c r="Q6" s="11"/>
      <c r="R6" s="13">
        <f t="shared" ref="R6:R17" si="4">SUM(K6+L6+M6+N6+O6+P6+Q6)</f>
        <v>0</v>
      </c>
      <c r="S6" s="11"/>
      <c r="T6" s="11"/>
      <c r="U6" s="11"/>
      <c r="V6" s="11"/>
      <c r="W6" s="11"/>
      <c r="X6" s="11"/>
      <c r="Y6" s="14">
        <f t="shared" ref="Y6:Y17" si="5">SUM(S6+T6+U6+V6+W6+X6)</f>
        <v>0</v>
      </c>
      <c r="Z6" s="12">
        <f t="shared" si="0"/>
        <v>12.5</v>
      </c>
      <c r="AA6" s="13">
        <f t="shared" si="1"/>
        <v>0</v>
      </c>
      <c r="AB6" s="14">
        <f t="shared" si="2"/>
        <v>0</v>
      </c>
      <c r="AC6" s="16">
        <f t="shared" ref="AC6:AC17" si="6">SUM(J6+R6+Y6)</f>
        <v>12.5</v>
      </c>
    </row>
    <row r="7" spans="1:30" x14ac:dyDescent="0.25">
      <c r="A7" s="11"/>
      <c r="B7" s="6" t="s">
        <v>34</v>
      </c>
      <c r="C7" s="11" t="s">
        <v>5</v>
      </c>
      <c r="D7" s="11">
        <v>1.1000000000000001</v>
      </c>
      <c r="E7" s="11">
        <v>4.7</v>
      </c>
      <c r="F7" s="11">
        <v>9</v>
      </c>
      <c r="G7" s="11"/>
      <c r="H7" s="11"/>
      <c r="I7" s="11"/>
      <c r="J7" s="12">
        <f t="shared" si="3"/>
        <v>13.7</v>
      </c>
      <c r="K7" s="11"/>
      <c r="L7" s="11"/>
      <c r="M7" s="11"/>
      <c r="N7" s="11"/>
      <c r="O7" s="11"/>
      <c r="P7" s="11"/>
      <c r="Q7" s="11"/>
      <c r="R7" s="13">
        <f t="shared" si="4"/>
        <v>0</v>
      </c>
      <c r="S7" s="11"/>
      <c r="T7" s="11"/>
      <c r="U7" s="11"/>
      <c r="V7" s="11"/>
      <c r="W7" s="11"/>
      <c r="X7" s="11"/>
      <c r="Y7" s="14">
        <f t="shared" si="5"/>
        <v>0</v>
      </c>
      <c r="Z7" s="12">
        <f t="shared" si="0"/>
        <v>13.7</v>
      </c>
      <c r="AA7" s="13">
        <f t="shared" si="1"/>
        <v>0</v>
      </c>
      <c r="AB7" s="14">
        <f t="shared" si="2"/>
        <v>0</v>
      </c>
      <c r="AC7" s="16">
        <f t="shared" si="6"/>
        <v>13.7</v>
      </c>
    </row>
    <row r="8" spans="1:30" x14ac:dyDescent="0.25">
      <c r="A8" s="11"/>
      <c r="B8" s="6" t="s">
        <v>35</v>
      </c>
      <c r="C8" s="11" t="s">
        <v>47</v>
      </c>
      <c r="D8" s="11">
        <v>0.9</v>
      </c>
      <c r="E8" s="11">
        <v>4.8</v>
      </c>
      <c r="F8" s="11">
        <v>5</v>
      </c>
      <c r="G8" s="11"/>
      <c r="H8" s="11"/>
      <c r="I8" s="11"/>
      <c r="J8" s="12">
        <f t="shared" si="3"/>
        <v>9.8000000000000007</v>
      </c>
      <c r="K8" s="11"/>
      <c r="L8" s="11"/>
      <c r="M8" s="11"/>
      <c r="N8" s="11"/>
      <c r="O8" s="11"/>
      <c r="P8" s="11"/>
      <c r="Q8" s="11"/>
      <c r="R8" s="13">
        <f t="shared" si="4"/>
        <v>0</v>
      </c>
      <c r="S8" s="11"/>
      <c r="T8" s="11"/>
      <c r="U8" s="11"/>
      <c r="V8" s="11"/>
      <c r="W8" s="11"/>
      <c r="X8" s="11"/>
      <c r="Y8" s="14">
        <f t="shared" si="5"/>
        <v>0</v>
      </c>
      <c r="Z8" s="12">
        <f t="shared" si="0"/>
        <v>9.8000000000000007</v>
      </c>
      <c r="AA8" s="13">
        <f t="shared" si="1"/>
        <v>0</v>
      </c>
      <c r="AB8" s="14">
        <f t="shared" si="2"/>
        <v>0</v>
      </c>
      <c r="AC8" s="16">
        <f t="shared" si="6"/>
        <v>9.8000000000000007</v>
      </c>
    </row>
    <row r="9" spans="1:30" x14ac:dyDescent="0.25">
      <c r="A9" s="11"/>
      <c r="B9" s="6" t="s">
        <v>36</v>
      </c>
      <c r="C9" s="11" t="s">
        <v>49</v>
      </c>
      <c r="D9" s="11">
        <v>1.1000000000000001</v>
      </c>
      <c r="E9" s="11">
        <v>4.7</v>
      </c>
      <c r="F9" s="11">
        <v>3</v>
      </c>
      <c r="G9" s="11"/>
      <c r="H9" s="11"/>
      <c r="I9" s="11"/>
      <c r="J9" s="12">
        <f t="shared" si="3"/>
        <v>7.7</v>
      </c>
      <c r="K9" s="11"/>
      <c r="L9" s="11"/>
      <c r="M9" s="11"/>
      <c r="N9" s="11"/>
      <c r="O9" s="11"/>
      <c r="P9" s="11"/>
      <c r="Q9" s="11"/>
      <c r="R9" s="13">
        <f t="shared" si="4"/>
        <v>0</v>
      </c>
      <c r="S9" s="11"/>
      <c r="T9" s="11"/>
      <c r="U9" s="11"/>
      <c r="V9" s="11"/>
      <c r="W9" s="11"/>
      <c r="X9" s="11"/>
      <c r="Y9" s="14">
        <f t="shared" si="5"/>
        <v>0</v>
      </c>
      <c r="Z9" s="12">
        <f t="shared" si="0"/>
        <v>7.7</v>
      </c>
      <c r="AA9" s="13">
        <f t="shared" si="1"/>
        <v>0</v>
      </c>
      <c r="AB9" s="14">
        <f t="shared" si="2"/>
        <v>0</v>
      </c>
      <c r="AC9" s="16">
        <f t="shared" si="6"/>
        <v>7.7</v>
      </c>
    </row>
    <row r="10" spans="1:30" x14ac:dyDescent="0.25">
      <c r="A10" s="11"/>
      <c r="B10" s="6" t="s">
        <v>37</v>
      </c>
      <c r="C10" s="11" t="s">
        <v>48</v>
      </c>
      <c r="D10" s="11">
        <v>0.9</v>
      </c>
      <c r="E10" s="11">
        <v>4.7</v>
      </c>
      <c r="F10" s="11">
        <v>4</v>
      </c>
      <c r="G10" s="11"/>
      <c r="H10" s="11"/>
      <c r="I10" s="11"/>
      <c r="J10" s="12">
        <f t="shared" si="3"/>
        <v>8.6999999999999993</v>
      </c>
      <c r="K10" s="11"/>
      <c r="L10" s="11"/>
      <c r="M10" s="11"/>
      <c r="N10" s="11"/>
      <c r="O10" s="11"/>
      <c r="P10" s="11"/>
      <c r="Q10" s="11"/>
      <c r="R10" s="13">
        <f t="shared" si="4"/>
        <v>0</v>
      </c>
      <c r="S10" s="11"/>
      <c r="T10" s="11"/>
      <c r="U10" s="11"/>
      <c r="V10" s="11"/>
      <c r="W10" s="11"/>
      <c r="X10" s="11"/>
      <c r="Y10" s="14">
        <f t="shared" si="5"/>
        <v>0</v>
      </c>
      <c r="Z10" s="12">
        <f t="shared" si="0"/>
        <v>8.6999999999999993</v>
      </c>
      <c r="AA10" s="13">
        <f t="shared" si="1"/>
        <v>0</v>
      </c>
      <c r="AB10" s="14">
        <f t="shared" si="2"/>
        <v>0</v>
      </c>
      <c r="AC10" s="16">
        <f t="shared" si="6"/>
        <v>8.6999999999999993</v>
      </c>
    </row>
    <row r="11" spans="1:30" x14ac:dyDescent="0.25">
      <c r="A11" s="11"/>
      <c r="B11" s="6" t="s">
        <v>39</v>
      </c>
      <c r="C11" s="11" t="s">
        <v>49</v>
      </c>
      <c r="D11" s="11">
        <v>1</v>
      </c>
      <c r="E11" s="11">
        <v>4.5999999999999996</v>
      </c>
      <c r="F11" s="11">
        <v>7</v>
      </c>
      <c r="G11" s="11"/>
      <c r="H11" s="11"/>
      <c r="I11" s="11"/>
      <c r="J11" s="12">
        <f t="shared" si="3"/>
        <v>11.6</v>
      </c>
      <c r="K11" s="11"/>
      <c r="L11" s="11"/>
      <c r="M11" s="11"/>
      <c r="N11" s="11"/>
      <c r="O11" s="11"/>
      <c r="P11" s="11"/>
      <c r="Q11" s="11"/>
      <c r="R11" s="13">
        <f t="shared" si="4"/>
        <v>0</v>
      </c>
      <c r="S11" s="11"/>
      <c r="T11" s="11"/>
      <c r="U11" s="11"/>
      <c r="V11" s="11"/>
      <c r="W11" s="11"/>
      <c r="X11" s="11"/>
      <c r="Y11" s="14">
        <f t="shared" si="5"/>
        <v>0</v>
      </c>
      <c r="Z11" s="12">
        <f t="shared" si="0"/>
        <v>11.6</v>
      </c>
      <c r="AA11" s="13">
        <f t="shared" si="1"/>
        <v>0</v>
      </c>
      <c r="AB11" s="14">
        <f t="shared" si="2"/>
        <v>0</v>
      </c>
      <c r="AC11" s="16">
        <f t="shared" si="6"/>
        <v>11.6</v>
      </c>
    </row>
    <row r="12" spans="1:30" x14ac:dyDescent="0.25">
      <c r="A12" s="11"/>
      <c r="B12" s="6" t="s">
        <v>40</v>
      </c>
      <c r="C12" s="11" t="s">
        <v>50</v>
      </c>
      <c r="D12" s="11">
        <v>0.8</v>
      </c>
      <c r="E12" s="11">
        <v>4.5</v>
      </c>
      <c r="F12" s="11">
        <v>10</v>
      </c>
      <c r="G12" s="11"/>
      <c r="H12" s="11"/>
      <c r="I12" s="11"/>
      <c r="J12" s="12">
        <f t="shared" si="3"/>
        <v>14.5</v>
      </c>
      <c r="K12" s="11"/>
      <c r="L12" s="11"/>
      <c r="M12" s="11"/>
      <c r="N12" s="11"/>
      <c r="O12" s="11"/>
      <c r="P12" s="11"/>
      <c r="Q12" s="11"/>
      <c r="R12" s="13">
        <f t="shared" si="4"/>
        <v>0</v>
      </c>
      <c r="S12" s="11"/>
      <c r="T12" s="11"/>
      <c r="U12" s="11"/>
      <c r="V12" s="11"/>
      <c r="W12" s="11"/>
      <c r="X12" s="11"/>
      <c r="Y12" s="14">
        <f t="shared" si="5"/>
        <v>0</v>
      </c>
      <c r="Z12" s="12">
        <f t="shared" si="0"/>
        <v>14.5</v>
      </c>
      <c r="AA12" s="13">
        <f t="shared" si="1"/>
        <v>0</v>
      </c>
      <c r="AB12" s="14">
        <f t="shared" si="2"/>
        <v>0</v>
      </c>
      <c r="AC12" s="16">
        <f t="shared" si="6"/>
        <v>14.5</v>
      </c>
    </row>
    <row r="13" spans="1:30" x14ac:dyDescent="0.25">
      <c r="A13" s="11"/>
      <c r="B13" s="6" t="s">
        <v>41</v>
      </c>
      <c r="C13" s="11" t="s">
        <v>48</v>
      </c>
      <c r="D13" s="11">
        <v>0.9</v>
      </c>
      <c r="E13" s="11">
        <v>4.0999999999999996</v>
      </c>
      <c r="F13" s="11">
        <v>8</v>
      </c>
      <c r="G13" s="11"/>
      <c r="H13" s="11"/>
      <c r="I13" s="11"/>
      <c r="J13" s="12">
        <f t="shared" si="3"/>
        <v>12.1</v>
      </c>
      <c r="K13" s="11"/>
      <c r="L13" s="11"/>
      <c r="M13" s="11"/>
      <c r="N13" s="11"/>
      <c r="O13" s="11"/>
      <c r="P13" s="11"/>
      <c r="Q13" s="11"/>
      <c r="R13" s="13">
        <f t="shared" si="4"/>
        <v>0</v>
      </c>
      <c r="S13" s="11"/>
      <c r="T13" s="11"/>
      <c r="U13" s="11"/>
      <c r="V13" s="11"/>
      <c r="W13" s="11"/>
      <c r="X13" s="11"/>
      <c r="Y13" s="14">
        <f t="shared" si="5"/>
        <v>0</v>
      </c>
      <c r="Z13" s="12">
        <f t="shared" si="0"/>
        <v>12.1</v>
      </c>
      <c r="AA13" s="13">
        <f t="shared" si="1"/>
        <v>0</v>
      </c>
      <c r="AB13" s="14">
        <f t="shared" si="2"/>
        <v>0</v>
      </c>
      <c r="AC13" s="16">
        <f t="shared" si="6"/>
        <v>12.1</v>
      </c>
    </row>
    <row r="14" spans="1:30" x14ac:dyDescent="0.25">
      <c r="A14" s="11"/>
      <c r="B14" s="6" t="s">
        <v>42</v>
      </c>
      <c r="C14" s="11" t="s">
        <v>49</v>
      </c>
      <c r="D14" s="11">
        <v>1.1000000000000001</v>
      </c>
      <c r="E14" s="11">
        <v>4.9000000000000004</v>
      </c>
      <c r="F14" s="11">
        <v>11</v>
      </c>
      <c r="G14" s="11"/>
      <c r="H14" s="11"/>
      <c r="I14" s="11"/>
      <c r="J14" s="12">
        <f t="shared" si="3"/>
        <v>15.9</v>
      </c>
      <c r="K14" s="11"/>
      <c r="L14" s="11"/>
      <c r="M14" s="11"/>
      <c r="N14" s="11"/>
      <c r="O14" s="11"/>
      <c r="P14" s="11"/>
      <c r="Q14" s="11"/>
      <c r="R14" s="13">
        <f t="shared" si="4"/>
        <v>0</v>
      </c>
      <c r="S14" s="11"/>
      <c r="T14" s="11"/>
      <c r="U14" s="11"/>
      <c r="V14" s="11"/>
      <c r="W14" s="11"/>
      <c r="X14" s="11"/>
      <c r="Y14" s="14">
        <f t="shared" si="5"/>
        <v>0</v>
      </c>
      <c r="Z14" s="12">
        <f t="shared" si="0"/>
        <v>15.9</v>
      </c>
      <c r="AA14" s="13">
        <f t="shared" si="1"/>
        <v>0</v>
      </c>
      <c r="AB14" s="14">
        <f t="shared" si="2"/>
        <v>0</v>
      </c>
      <c r="AC14" s="16">
        <f t="shared" si="6"/>
        <v>15.9</v>
      </c>
    </row>
    <row r="15" spans="1:30" x14ac:dyDescent="0.25">
      <c r="A15" s="11"/>
      <c r="B15" s="6" t="s">
        <v>43</v>
      </c>
      <c r="C15" s="11" t="s">
        <v>51</v>
      </c>
      <c r="D15" s="11">
        <v>0.6</v>
      </c>
      <c r="E15" s="11">
        <v>4.3</v>
      </c>
      <c r="F15" s="11">
        <v>3</v>
      </c>
      <c r="G15" s="11"/>
      <c r="H15" s="11"/>
      <c r="I15" s="11"/>
      <c r="J15" s="12">
        <f t="shared" si="3"/>
        <v>7.3</v>
      </c>
      <c r="K15" s="11"/>
      <c r="L15" s="11"/>
      <c r="M15" s="11"/>
      <c r="N15" s="11"/>
      <c r="O15" s="11"/>
      <c r="P15" s="11"/>
      <c r="Q15" s="11"/>
      <c r="R15" s="13">
        <f t="shared" si="4"/>
        <v>0</v>
      </c>
      <c r="S15" s="11"/>
      <c r="T15" s="11"/>
      <c r="U15" s="11"/>
      <c r="V15" s="11"/>
      <c r="W15" s="11"/>
      <c r="X15" s="11"/>
      <c r="Y15" s="14">
        <f t="shared" si="5"/>
        <v>0</v>
      </c>
      <c r="Z15" s="12">
        <f t="shared" si="0"/>
        <v>7.3</v>
      </c>
      <c r="AA15" s="13">
        <f t="shared" si="1"/>
        <v>0</v>
      </c>
      <c r="AB15" s="14">
        <f t="shared" si="2"/>
        <v>0</v>
      </c>
      <c r="AC15" s="16">
        <f t="shared" si="6"/>
        <v>7.3</v>
      </c>
    </row>
    <row r="16" spans="1:30" x14ac:dyDescent="0.25">
      <c r="A16" s="11"/>
      <c r="B16" s="6" t="s">
        <v>44</v>
      </c>
      <c r="C16" s="11" t="s">
        <v>5</v>
      </c>
      <c r="D16" s="11">
        <v>1.1000000000000001</v>
      </c>
      <c r="E16" s="11">
        <v>4.4000000000000004</v>
      </c>
      <c r="F16" s="11">
        <v>10</v>
      </c>
      <c r="G16" s="11"/>
      <c r="H16" s="11"/>
      <c r="I16" s="11"/>
      <c r="J16" s="12">
        <f t="shared" si="3"/>
        <v>14.4</v>
      </c>
      <c r="K16" s="11"/>
      <c r="L16" s="11"/>
      <c r="M16" s="11"/>
      <c r="N16" s="11"/>
      <c r="O16" s="11"/>
      <c r="P16" s="11"/>
      <c r="Q16" s="11"/>
      <c r="R16" s="13">
        <f t="shared" si="4"/>
        <v>0</v>
      </c>
      <c r="S16" s="11"/>
      <c r="T16" s="11"/>
      <c r="U16" s="11"/>
      <c r="V16" s="11"/>
      <c r="W16" s="11"/>
      <c r="X16" s="11"/>
      <c r="Y16" s="14">
        <f t="shared" si="5"/>
        <v>0</v>
      </c>
      <c r="Z16" s="12">
        <f t="shared" si="0"/>
        <v>14.4</v>
      </c>
      <c r="AA16" s="13">
        <f t="shared" si="1"/>
        <v>0</v>
      </c>
      <c r="AB16" s="14">
        <f t="shared" si="2"/>
        <v>0</v>
      </c>
      <c r="AC16" s="16">
        <f t="shared" si="6"/>
        <v>14.4</v>
      </c>
    </row>
    <row r="17" spans="1:29" x14ac:dyDescent="0.25">
      <c r="A17" s="11"/>
      <c r="B17" s="6" t="s">
        <v>45</v>
      </c>
      <c r="C17" s="11" t="s">
        <v>52</v>
      </c>
      <c r="D17" s="11">
        <v>1</v>
      </c>
      <c r="E17" s="11">
        <v>4.3</v>
      </c>
      <c r="F17" s="11">
        <v>8</v>
      </c>
      <c r="G17" s="11"/>
      <c r="H17" s="11"/>
      <c r="I17" s="11"/>
      <c r="J17" s="12">
        <f t="shared" si="3"/>
        <v>12.3</v>
      </c>
      <c r="K17" s="11"/>
      <c r="L17" s="11"/>
      <c r="M17" s="11"/>
      <c r="N17" s="11"/>
      <c r="O17" s="11"/>
      <c r="P17" s="11"/>
      <c r="Q17" s="11"/>
      <c r="R17" s="13">
        <f t="shared" si="4"/>
        <v>0</v>
      </c>
      <c r="S17" s="11"/>
      <c r="T17" s="11"/>
      <c r="U17" s="11"/>
      <c r="V17" s="11"/>
      <c r="W17" s="11"/>
      <c r="X17" s="11"/>
      <c r="Y17" s="14">
        <f t="shared" si="5"/>
        <v>0</v>
      </c>
      <c r="Z17" s="12">
        <f t="shared" si="0"/>
        <v>12.3</v>
      </c>
      <c r="AA17" s="13">
        <f t="shared" si="1"/>
        <v>0</v>
      </c>
      <c r="AB17" s="14">
        <f t="shared" si="2"/>
        <v>0</v>
      </c>
      <c r="AC17" s="16">
        <f t="shared" si="6"/>
        <v>12.3</v>
      </c>
    </row>
  </sheetData>
  <mergeCells count="4">
    <mergeCell ref="E3:J3"/>
    <mergeCell ref="K3:R3"/>
    <mergeCell ref="S3:Y3"/>
    <mergeCell ref="Z3:AC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E7E06-059A-4205-9A20-6BF065CC0218}">
  <dimension ref="A1:L21"/>
  <sheetViews>
    <sheetView topLeftCell="B4" workbookViewId="0">
      <selection activeCell="H21" sqref="H21"/>
    </sheetView>
  </sheetViews>
  <sheetFormatPr defaultRowHeight="15" x14ac:dyDescent="0.25"/>
  <sheetData>
    <row r="1" spans="1:12" x14ac:dyDescent="0.25">
      <c r="A1" t="s">
        <v>0</v>
      </c>
      <c r="B1" t="s">
        <v>53</v>
      </c>
    </row>
    <row r="3" spans="1:12" ht="28.5" customHeight="1" x14ac:dyDescent="0.25">
      <c r="A3" t="s">
        <v>76</v>
      </c>
      <c r="C3" s="1" t="s">
        <v>94</v>
      </c>
      <c r="D3" s="1" t="s">
        <v>95</v>
      </c>
      <c r="E3" s="1" t="s">
        <v>96</v>
      </c>
      <c r="F3" s="1" t="s">
        <v>97</v>
      </c>
      <c r="G3" s="1" t="s">
        <v>98</v>
      </c>
      <c r="H3" s="1" t="s">
        <v>99</v>
      </c>
      <c r="I3" s="1" t="s">
        <v>100</v>
      </c>
      <c r="J3" s="1"/>
      <c r="K3" s="1"/>
      <c r="L3" s="1"/>
    </row>
    <row r="4" spans="1:12" x14ac:dyDescent="0.25">
      <c r="A4">
        <v>1</v>
      </c>
      <c r="B4" t="s">
        <v>77</v>
      </c>
      <c r="C4">
        <f>SUM(D4+E4)</f>
        <v>24</v>
      </c>
      <c r="D4">
        <v>7</v>
      </c>
      <c r="E4">
        <v>17</v>
      </c>
      <c r="F4">
        <v>1</v>
      </c>
      <c r="G4">
        <v>1</v>
      </c>
      <c r="H4">
        <v>1</v>
      </c>
      <c r="I4">
        <v>0</v>
      </c>
    </row>
    <row r="5" spans="1:12" x14ac:dyDescent="0.25">
      <c r="A5">
        <v>2</v>
      </c>
      <c r="B5" t="s">
        <v>78</v>
      </c>
      <c r="C5">
        <f t="shared" ref="C5:C20" si="0">SUM(D5+E5)</f>
        <v>24</v>
      </c>
      <c r="D5">
        <v>14</v>
      </c>
      <c r="E5">
        <v>10</v>
      </c>
      <c r="F5">
        <v>1</v>
      </c>
      <c r="G5">
        <v>1</v>
      </c>
      <c r="H5">
        <v>2</v>
      </c>
      <c r="I5">
        <v>0</v>
      </c>
    </row>
    <row r="6" spans="1:12" x14ac:dyDescent="0.25">
      <c r="A6">
        <v>3</v>
      </c>
      <c r="B6" t="s">
        <v>79</v>
      </c>
      <c r="C6">
        <f t="shared" si="0"/>
        <v>24</v>
      </c>
      <c r="D6">
        <v>7</v>
      </c>
      <c r="E6">
        <v>17</v>
      </c>
      <c r="F6">
        <v>1</v>
      </c>
      <c r="G6">
        <v>2</v>
      </c>
      <c r="H6">
        <v>1</v>
      </c>
      <c r="I6">
        <v>0</v>
      </c>
    </row>
    <row r="7" spans="1:12" x14ac:dyDescent="0.25">
      <c r="A7">
        <v>4</v>
      </c>
      <c r="B7" t="s">
        <v>80</v>
      </c>
      <c r="C7">
        <f t="shared" si="0"/>
        <v>24</v>
      </c>
      <c r="D7">
        <v>12</v>
      </c>
      <c r="E7">
        <v>12</v>
      </c>
      <c r="F7">
        <v>0</v>
      </c>
      <c r="G7">
        <v>0</v>
      </c>
      <c r="H7">
        <v>3</v>
      </c>
      <c r="I7">
        <v>0</v>
      </c>
    </row>
    <row r="8" spans="1:12" x14ac:dyDescent="0.25">
      <c r="A8">
        <v>5</v>
      </c>
      <c r="B8" t="s">
        <v>81</v>
      </c>
      <c r="C8">
        <f t="shared" si="0"/>
        <v>24</v>
      </c>
      <c r="D8">
        <v>9</v>
      </c>
      <c r="E8">
        <v>15</v>
      </c>
      <c r="F8">
        <v>1</v>
      </c>
      <c r="G8">
        <v>0</v>
      </c>
      <c r="H8">
        <v>0</v>
      </c>
      <c r="I8">
        <v>0</v>
      </c>
    </row>
    <row r="9" spans="1:12" x14ac:dyDescent="0.25">
      <c r="A9">
        <v>6</v>
      </c>
      <c r="B9" t="s">
        <v>82</v>
      </c>
      <c r="C9">
        <f t="shared" si="0"/>
        <v>23</v>
      </c>
      <c r="D9">
        <v>12</v>
      </c>
      <c r="E9">
        <v>11</v>
      </c>
      <c r="F9">
        <v>1</v>
      </c>
      <c r="G9">
        <v>1</v>
      </c>
      <c r="H9">
        <v>3</v>
      </c>
      <c r="I9">
        <v>0</v>
      </c>
    </row>
    <row r="10" spans="1:12" x14ac:dyDescent="0.25">
      <c r="A10">
        <v>7</v>
      </c>
      <c r="B10" t="s">
        <v>83</v>
      </c>
      <c r="C10">
        <f t="shared" si="0"/>
        <v>25</v>
      </c>
      <c r="D10">
        <v>10</v>
      </c>
      <c r="E10">
        <v>15</v>
      </c>
      <c r="F10">
        <v>2</v>
      </c>
      <c r="G10">
        <v>0</v>
      </c>
      <c r="H10">
        <v>0</v>
      </c>
      <c r="I10">
        <v>0</v>
      </c>
    </row>
    <row r="11" spans="1:12" x14ac:dyDescent="0.25">
      <c r="A11">
        <v>8</v>
      </c>
      <c r="B11" t="s">
        <v>84</v>
      </c>
      <c r="C11">
        <f t="shared" si="0"/>
        <v>24</v>
      </c>
      <c r="D11">
        <v>15</v>
      </c>
      <c r="E11">
        <v>9</v>
      </c>
      <c r="F11">
        <v>0</v>
      </c>
      <c r="G11">
        <v>0</v>
      </c>
      <c r="H11">
        <v>0</v>
      </c>
      <c r="I11">
        <v>0</v>
      </c>
    </row>
    <row r="12" spans="1:12" x14ac:dyDescent="0.25">
      <c r="A12">
        <v>9</v>
      </c>
      <c r="B12" t="s">
        <v>85</v>
      </c>
      <c r="C12">
        <f t="shared" si="0"/>
        <v>28</v>
      </c>
      <c r="D12">
        <v>14</v>
      </c>
      <c r="E12">
        <v>14</v>
      </c>
      <c r="F12">
        <v>1</v>
      </c>
      <c r="G12">
        <v>0</v>
      </c>
      <c r="H12">
        <v>2</v>
      </c>
      <c r="I12">
        <v>0</v>
      </c>
    </row>
    <row r="13" spans="1:12" x14ac:dyDescent="0.25">
      <c r="A13">
        <v>10</v>
      </c>
      <c r="B13" t="s">
        <v>86</v>
      </c>
      <c r="C13">
        <f t="shared" si="0"/>
        <v>27</v>
      </c>
      <c r="D13">
        <v>13</v>
      </c>
      <c r="E13">
        <v>14</v>
      </c>
      <c r="F13">
        <v>2</v>
      </c>
      <c r="G13">
        <v>1</v>
      </c>
      <c r="H13">
        <v>0</v>
      </c>
      <c r="I13">
        <v>0</v>
      </c>
    </row>
    <row r="14" spans="1:12" x14ac:dyDescent="0.25">
      <c r="A14">
        <v>11</v>
      </c>
      <c r="B14" t="s">
        <v>87</v>
      </c>
      <c r="C14">
        <f t="shared" si="0"/>
        <v>24</v>
      </c>
      <c r="D14">
        <v>12</v>
      </c>
      <c r="E14">
        <v>12</v>
      </c>
      <c r="F14">
        <v>1</v>
      </c>
      <c r="G14">
        <v>0</v>
      </c>
      <c r="H14">
        <v>1</v>
      </c>
      <c r="I14">
        <v>0</v>
      </c>
    </row>
    <row r="15" spans="1:12" x14ac:dyDescent="0.25">
      <c r="A15">
        <v>12</v>
      </c>
      <c r="B15" t="s">
        <v>88</v>
      </c>
      <c r="C15">
        <f t="shared" si="0"/>
        <v>17</v>
      </c>
      <c r="D15">
        <v>9</v>
      </c>
      <c r="E15">
        <v>8</v>
      </c>
      <c r="F15">
        <v>4</v>
      </c>
      <c r="G15">
        <v>0</v>
      </c>
      <c r="H15">
        <v>1</v>
      </c>
      <c r="I15">
        <v>0</v>
      </c>
    </row>
    <row r="16" spans="1:12" x14ac:dyDescent="0.25">
      <c r="A16">
        <v>13</v>
      </c>
      <c r="B16" t="s">
        <v>89</v>
      </c>
      <c r="C16">
        <f t="shared" si="0"/>
        <v>24</v>
      </c>
      <c r="D16">
        <v>8</v>
      </c>
      <c r="E16">
        <v>16</v>
      </c>
      <c r="F16">
        <v>2</v>
      </c>
      <c r="G16">
        <v>0</v>
      </c>
      <c r="H16">
        <v>0</v>
      </c>
      <c r="I16">
        <v>0</v>
      </c>
    </row>
    <row r="17" spans="1:9" x14ac:dyDescent="0.25">
      <c r="A17">
        <v>14</v>
      </c>
      <c r="B17" t="s">
        <v>90</v>
      </c>
      <c r="C17">
        <f t="shared" si="0"/>
        <v>25</v>
      </c>
      <c r="D17">
        <v>11</v>
      </c>
      <c r="E17">
        <v>14</v>
      </c>
      <c r="F17">
        <v>0</v>
      </c>
      <c r="G17">
        <v>1</v>
      </c>
      <c r="H17">
        <v>0</v>
      </c>
      <c r="I17">
        <v>0</v>
      </c>
    </row>
    <row r="18" spans="1:9" x14ac:dyDescent="0.25">
      <c r="A18">
        <v>15</v>
      </c>
      <c r="B18" t="s">
        <v>91</v>
      </c>
      <c r="C18">
        <f t="shared" si="0"/>
        <v>22</v>
      </c>
      <c r="D18">
        <v>2</v>
      </c>
      <c r="E18">
        <v>20</v>
      </c>
      <c r="F18">
        <v>0</v>
      </c>
      <c r="G18">
        <v>0</v>
      </c>
      <c r="H18">
        <v>0</v>
      </c>
      <c r="I18">
        <v>0</v>
      </c>
    </row>
    <row r="19" spans="1:9" x14ac:dyDescent="0.25">
      <c r="A19">
        <v>16</v>
      </c>
      <c r="B19" t="s">
        <v>92</v>
      </c>
      <c r="C19">
        <f t="shared" si="0"/>
        <v>18</v>
      </c>
      <c r="D19">
        <v>11</v>
      </c>
      <c r="E19">
        <v>7</v>
      </c>
      <c r="F19">
        <v>1</v>
      </c>
      <c r="G19">
        <v>0</v>
      </c>
      <c r="H19">
        <v>1</v>
      </c>
      <c r="I19">
        <v>0</v>
      </c>
    </row>
    <row r="20" spans="1:9" x14ac:dyDescent="0.25">
      <c r="A20">
        <v>17</v>
      </c>
      <c r="B20" t="s">
        <v>93</v>
      </c>
      <c r="C20">
        <f t="shared" si="0"/>
        <v>11</v>
      </c>
      <c r="D20">
        <v>4</v>
      </c>
      <c r="E20">
        <v>7</v>
      </c>
      <c r="F20">
        <v>0</v>
      </c>
      <c r="G20">
        <v>0</v>
      </c>
      <c r="H20">
        <v>1</v>
      </c>
      <c r="I20">
        <v>0</v>
      </c>
    </row>
    <row r="21" spans="1:9" x14ac:dyDescent="0.25">
      <c r="C21">
        <f>SUM(C4:C20)</f>
        <v>388</v>
      </c>
      <c r="D21">
        <f t="shared" ref="D21:E21" si="1">SUM(D4:D20)</f>
        <v>170</v>
      </c>
      <c r="E21">
        <f t="shared" si="1"/>
        <v>218</v>
      </c>
      <c r="F21">
        <f t="shared" ref="F21" si="2">SUM(F4:F20)</f>
        <v>18</v>
      </c>
      <c r="G21">
        <f t="shared" ref="G21" si="3">SUM(G4:G20)</f>
        <v>7</v>
      </c>
      <c r="H21">
        <f t="shared" ref="H21" si="4">SUM(H4:H20)</f>
        <v>16</v>
      </c>
      <c r="I21">
        <f t="shared" ref="I21" si="5">SUM(I4:I20)</f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D8DF65-2FAD-4148-A283-6B41F4063881}">
  <dimension ref="A2:R225"/>
  <sheetViews>
    <sheetView tabSelected="1" topLeftCell="B209" workbookViewId="0">
      <selection activeCell="E218" sqref="E218"/>
    </sheetView>
  </sheetViews>
  <sheetFormatPr defaultRowHeight="21.75" x14ac:dyDescent="0.35"/>
  <cols>
    <col min="1" max="1" width="4.28515625" style="17" bestFit="1" customWidth="1"/>
    <col min="2" max="2" width="32.42578125" style="17" bestFit="1" customWidth="1"/>
    <col min="3" max="3" width="10.85546875" style="17" customWidth="1"/>
    <col min="4" max="4" width="7.28515625" style="17" customWidth="1"/>
    <col min="5" max="5" width="8.5703125" style="17" customWidth="1"/>
    <col min="6" max="6" width="8" style="17" customWidth="1"/>
    <col min="7" max="7" width="8.140625" style="17" customWidth="1"/>
    <col min="8" max="8" width="7.140625" style="17" customWidth="1"/>
    <col min="9" max="9" width="6" style="17" customWidth="1"/>
    <col min="10" max="10" width="7.140625" style="17" customWidth="1"/>
    <col min="11" max="11" width="8.85546875" style="17" customWidth="1"/>
    <col min="12" max="12" width="6.28515625" style="17" customWidth="1"/>
    <col min="13" max="13" width="16.5703125" style="25" customWidth="1"/>
    <col min="14" max="14" width="10.85546875" style="25" customWidth="1"/>
    <col min="15" max="15" width="14.42578125" style="25" customWidth="1"/>
    <col min="16" max="16" width="10.85546875" style="25" customWidth="1"/>
    <col min="17" max="17" width="32.5703125" style="47" customWidth="1"/>
    <col min="18" max="16384" width="9.140625" style="17"/>
  </cols>
  <sheetData>
    <row r="2" spans="1:18" x14ac:dyDescent="0.35">
      <c r="A2" s="18" t="s">
        <v>101</v>
      </c>
    </row>
    <row r="5" spans="1:18" x14ac:dyDescent="0.35">
      <c r="A5" s="19" t="s">
        <v>102</v>
      </c>
    </row>
    <row r="7" spans="1:18" ht="22.5" thickBot="1" x14ac:dyDescent="0.4"/>
    <row r="8" spans="1:18" ht="56.25" customHeight="1" x14ac:dyDescent="0.35">
      <c r="A8" s="40" t="s">
        <v>2</v>
      </c>
      <c r="B8" s="40" t="s">
        <v>103</v>
      </c>
      <c r="C8" s="40" t="s">
        <v>104</v>
      </c>
      <c r="D8" s="20" t="s">
        <v>105</v>
      </c>
      <c r="E8" s="43" t="s">
        <v>106</v>
      </c>
      <c r="F8" s="43" t="s">
        <v>52</v>
      </c>
      <c r="G8" s="43" t="s">
        <v>107</v>
      </c>
      <c r="H8" s="43" t="s">
        <v>108</v>
      </c>
      <c r="I8" s="20" t="s">
        <v>109</v>
      </c>
      <c r="J8" s="43" t="s">
        <v>5</v>
      </c>
      <c r="K8" s="20" t="s">
        <v>110</v>
      </c>
      <c r="L8" s="43" t="s">
        <v>111</v>
      </c>
    </row>
    <row r="9" spans="1:18" ht="56.25" customHeight="1" thickBot="1" x14ac:dyDescent="0.4">
      <c r="A9" s="42"/>
      <c r="B9" s="42"/>
      <c r="C9" s="42"/>
      <c r="D9" s="21" t="s">
        <v>112</v>
      </c>
      <c r="E9" s="44"/>
      <c r="F9" s="44"/>
      <c r="G9" s="44"/>
      <c r="H9" s="44"/>
      <c r="I9" s="21" t="s">
        <v>112</v>
      </c>
      <c r="J9" s="44"/>
      <c r="K9" s="21" t="s">
        <v>113</v>
      </c>
      <c r="L9" s="44"/>
    </row>
    <row r="10" spans="1:18" ht="22.5" customHeight="1" thickBot="1" x14ac:dyDescent="0.4">
      <c r="A10" s="40">
        <v>1</v>
      </c>
      <c r="B10" s="40" t="s">
        <v>114</v>
      </c>
      <c r="C10" s="51"/>
      <c r="D10" s="52"/>
      <c r="E10" s="52"/>
      <c r="F10" s="52"/>
      <c r="G10" s="52"/>
      <c r="H10" s="52"/>
      <c r="I10" s="52"/>
      <c r="J10" s="52"/>
      <c r="K10" s="52"/>
      <c r="L10" s="52"/>
    </row>
    <row r="11" spans="1:18" ht="22.5" thickBot="1" x14ac:dyDescent="0.4">
      <c r="A11" s="41"/>
      <c r="B11" s="41"/>
      <c r="C11" s="22" t="s">
        <v>115</v>
      </c>
      <c r="D11" s="23" t="s">
        <v>116</v>
      </c>
      <c r="E11" s="23">
        <v>5</v>
      </c>
      <c r="F11" s="23">
        <v>5</v>
      </c>
      <c r="G11" s="23">
        <v>5</v>
      </c>
      <c r="H11" s="23">
        <v>4</v>
      </c>
      <c r="I11" s="23">
        <v>5</v>
      </c>
      <c r="J11" s="23">
        <v>5</v>
      </c>
      <c r="K11" s="23">
        <v>5</v>
      </c>
      <c r="L11" s="23">
        <v>5</v>
      </c>
      <c r="M11" s="25" t="str">
        <f t="shared" ref="M11:M17" si="0">IF(MIN(D11:L11)=5, "Отличник", IF(MIN(D11:L11)&gt;=4, "Хорошист", IF(MIN(D11:L11)=3, "Троечник", "Двоечник")))</f>
        <v>Хорошист</v>
      </c>
      <c r="N11" s="25" t="str">
        <f t="shared" ref="N11:N17" si="1">IF(MIN(D11:L11)=5, "5", IF(MIN(D11:L11)&gt;=4, "4", IF(MIN(D11:L11)=3, "3")))</f>
        <v>4</v>
      </c>
      <c r="P11" s="4"/>
    </row>
    <row r="12" spans="1:18" ht="22.5" thickBot="1" x14ac:dyDescent="0.4">
      <c r="A12" s="41"/>
      <c r="B12" s="41"/>
      <c r="C12" s="22" t="s">
        <v>117</v>
      </c>
      <c r="D12" s="23">
        <v>4</v>
      </c>
      <c r="E12" s="23">
        <v>5</v>
      </c>
      <c r="F12" s="23">
        <v>5</v>
      </c>
      <c r="G12" s="23">
        <v>4</v>
      </c>
      <c r="H12" s="23">
        <v>3</v>
      </c>
      <c r="I12" s="23">
        <v>5</v>
      </c>
      <c r="J12" s="23">
        <v>5</v>
      </c>
      <c r="K12" s="23">
        <v>4</v>
      </c>
      <c r="L12" s="23">
        <v>5</v>
      </c>
      <c r="M12" s="25" t="str">
        <f t="shared" si="0"/>
        <v>Троечник</v>
      </c>
      <c r="N12" s="25" t="str">
        <f t="shared" si="1"/>
        <v>3</v>
      </c>
      <c r="O12" s="46" t="str">
        <f>IF(OR(N12&lt;N11,AND(N12&lt;=3,N12&lt;=3)),"Ынта төмендеді","Ынта тұрақты")</f>
        <v>Ынта төмендеді</v>
      </c>
      <c r="P12" s="4"/>
    </row>
    <row r="13" spans="1:18" ht="22.5" thickBot="1" x14ac:dyDescent="0.4">
      <c r="A13" s="41"/>
      <c r="B13" s="41"/>
      <c r="C13" s="22" t="s">
        <v>118</v>
      </c>
      <c r="D13" s="23" t="s">
        <v>116</v>
      </c>
      <c r="E13" s="23">
        <v>5</v>
      </c>
      <c r="F13" s="23">
        <v>5</v>
      </c>
      <c r="G13" s="23">
        <v>5</v>
      </c>
      <c r="H13" s="23">
        <v>3</v>
      </c>
      <c r="I13" s="23">
        <v>5</v>
      </c>
      <c r="J13" s="23">
        <v>5</v>
      </c>
      <c r="K13" s="23">
        <v>3</v>
      </c>
      <c r="L13" s="23">
        <v>5</v>
      </c>
      <c r="M13" s="25" t="str">
        <f t="shared" si="0"/>
        <v>Троечник</v>
      </c>
      <c r="N13" s="25" t="str">
        <f t="shared" si="1"/>
        <v>3</v>
      </c>
      <c r="O13" s="46" t="str">
        <f t="shared" ref="O13:O17" si="2">IF(OR(N13&lt;N12,AND(N13&lt;=3,N13&lt;=3)),"Ынта төмендеді","Ынта тұрақты")</f>
        <v>Ынта тұрақты</v>
      </c>
    </row>
    <row r="14" spans="1:18" ht="22.5" thickBot="1" x14ac:dyDescent="0.4">
      <c r="A14" s="41"/>
      <c r="B14" s="41"/>
      <c r="C14" s="22" t="s">
        <v>119</v>
      </c>
      <c r="D14" s="23">
        <v>5</v>
      </c>
      <c r="E14" s="23">
        <v>5</v>
      </c>
      <c r="F14" s="23">
        <v>5</v>
      </c>
      <c r="G14" s="23">
        <v>5</v>
      </c>
      <c r="H14" s="23">
        <v>3</v>
      </c>
      <c r="I14" s="23">
        <v>5</v>
      </c>
      <c r="J14" s="23">
        <v>4</v>
      </c>
      <c r="K14" s="23">
        <v>3</v>
      </c>
      <c r="L14" s="23">
        <v>5</v>
      </c>
      <c r="M14" s="25" t="str">
        <f t="shared" si="0"/>
        <v>Троечник</v>
      </c>
      <c r="N14" s="25" t="str">
        <f t="shared" si="1"/>
        <v>3</v>
      </c>
      <c r="O14" s="46" t="str">
        <f t="shared" si="2"/>
        <v>Ынта тұрақты</v>
      </c>
    </row>
    <row r="15" spans="1:18" ht="22.5" thickBot="1" x14ac:dyDescent="0.4">
      <c r="A15" s="41"/>
      <c r="B15" s="41"/>
      <c r="C15" s="22" t="s">
        <v>120</v>
      </c>
      <c r="D15" s="23">
        <v>5</v>
      </c>
      <c r="E15" s="23">
        <v>5</v>
      </c>
      <c r="F15" s="23">
        <v>5</v>
      </c>
      <c r="G15" s="23">
        <v>5</v>
      </c>
      <c r="H15" s="23">
        <v>3</v>
      </c>
      <c r="I15" s="23">
        <v>5</v>
      </c>
      <c r="J15" s="23">
        <v>5</v>
      </c>
      <c r="K15" s="23">
        <v>3</v>
      </c>
      <c r="L15" s="23">
        <v>5</v>
      </c>
      <c r="M15" s="25" t="str">
        <f t="shared" si="0"/>
        <v>Троечник</v>
      </c>
      <c r="N15" s="25" t="str">
        <f t="shared" si="1"/>
        <v>3</v>
      </c>
      <c r="O15" s="46" t="str">
        <f t="shared" si="2"/>
        <v>Ынта тұрақты</v>
      </c>
      <c r="Q15" s="48" t="str">
        <f>IF(N12&lt;N11, "2-тоқсанда ынта төмендеді", IF(N13&lt;N12, "3-тоқсанда ынта төмендеді", IF(N14&lt;N13, "4-тоқсанда ынта төмендеді", "Төмендеу жоқ")))</f>
        <v>2-тоқсанда ынта төмендеді</v>
      </c>
      <c r="R15" s="45"/>
    </row>
    <row r="16" spans="1:18" ht="22.5" thickBot="1" x14ac:dyDescent="0.4">
      <c r="A16" s="41"/>
      <c r="B16" s="41"/>
      <c r="C16" s="22" t="s">
        <v>121</v>
      </c>
      <c r="D16" s="23" t="s">
        <v>116</v>
      </c>
      <c r="E16" s="23" t="s">
        <v>116</v>
      </c>
      <c r="F16" s="23" t="s">
        <v>116</v>
      </c>
      <c r="G16" s="23" t="s">
        <v>116</v>
      </c>
      <c r="H16" s="23">
        <v>3</v>
      </c>
      <c r="I16" s="23" t="s">
        <v>116</v>
      </c>
      <c r="J16" s="23" t="s">
        <v>116</v>
      </c>
      <c r="K16" s="23" t="s">
        <v>116</v>
      </c>
      <c r="L16" s="23" t="s">
        <v>116</v>
      </c>
      <c r="M16" s="25" t="str">
        <f t="shared" si="0"/>
        <v>Троечник</v>
      </c>
      <c r="N16" s="25" t="str">
        <f t="shared" si="1"/>
        <v>3</v>
      </c>
      <c r="O16" s="46" t="str">
        <f t="shared" si="2"/>
        <v>Ынта тұрақты</v>
      </c>
      <c r="R16" s="45"/>
    </row>
    <row r="17" spans="1:17" ht="22.5" thickBot="1" x14ac:dyDescent="0.4">
      <c r="A17" s="42"/>
      <c r="B17" s="42"/>
      <c r="C17" s="22" t="s">
        <v>122</v>
      </c>
      <c r="D17" s="23" t="s">
        <v>116</v>
      </c>
      <c r="E17" s="23" t="s">
        <v>116</v>
      </c>
      <c r="F17" s="23" t="s">
        <v>116</v>
      </c>
      <c r="G17" s="23" t="s">
        <v>116</v>
      </c>
      <c r="H17" s="23">
        <v>3</v>
      </c>
      <c r="I17" s="23" t="s">
        <v>116</v>
      </c>
      <c r="J17" s="23" t="s">
        <v>116</v>
      </c>
      <c r="K17" s="23" t="s">
        <v>116</v>
      </c>
      <c r="L17" s="23" t="s">
        <v>116</v>
      </c>
      <c r="M17" s="25" t="str">
        <f t="shared" si="0"/>
        <v>Троечник</v>
      </c>
      <c r="N17" s="25" t="str">
        <f t="shared" si="1"/>
        <v>3</v>
      </c>
      <c r="O17" s="46" t="str">
        <f t="shared" si="2"/>
        <v>Ынта тұрақты</v>
      </c>
      <c r="Q17" s="47" t="str">
        <f>IF(O12:O17="Ынта төмендеді","1. Жеке тапсырма беру; 2. Практикалық мысалдар келтіру; 3. Шағын мақсаттар қою; 4. Оқушының пікірін сұрау; 5. Ойын элементтерін қосу",
IF(AND(N15&lt;=3, N17&lt;=3), "1. Базалық білімді қалпына келтіру; 2. Қосымша сабақтар; 3. Жеңіл тапсырмалар арқылы сәттілік сезімін ояту; 4. Ата-анамен байланыс; 5. Пәнді өмірмен байланыстыру",
 "Ынта қалыпты, ынталандыруды жалғастыру"))</f>
        <v>Ынта қалыпты, ынталандыруды жалғастыру</v>
      </c>
    </row>
    <row r="18" spans="1:17" ht="42" customHeight="1" thickBot="1" x14ac:dyDescent="0.4">
      <c r="A18" s="40">
        <v>2</v>
      </c>
      <c r="B18" s="40" t="s">
        <v>123</v>
      </c>
      <c r="C18" s="51" t="str">
        <f>IF(O12:O18="Ынта төмендеді","1. Жеке тапсырма беру; 2. Практикалық мысалдар келтіру; 3. Шағын мақсаттар қою; 4. Оқушының пікірін сұрау; 5. Ойын элементтерін қосу",
IF(AND(N15&gt;3, N17&gt;3), "1. Базалық білімді қалпына келтіру; 2. Қосымша сабақтар; 3. Жеңіл тапсырмалар арқылы сәттілік сезімін ояту; 4. Ата-анамен байланыс; 5. Пәнді өмірмен байланыстыру",
 "Ынта қалыпты, ынталандыруды жалғастыру"))</f>
        <v>1. Базалық білімді қалпына келтіру; 2. Қосымша сабақтар; 3. Жеңіл тапсырмалар арқылы сәттілік сезімін ояту; 4. Ата-анамен байланыс; 5. Пәнді өмірмен байланыстыру</v>
      </c>
      <c r="D18" s="52"/>
      <c r="E18" s="52"/>
      <c r="F18" s="52"/>
      <c r="G18" s="52"/>
      <c r="H18" s="52"/>
      <c r="I18" s="52"/>
      <c r="J18" s="52"/>
      <c r="K18" s="52"/>
      <c r="L18" s="52"/>
      <c r="N18" s="29">
        <v>3</v>
      </c>
      <c r="O18" s="29"/>
      <c r="P18" s="30">
        <f>ROUNDDOWN(N18, 0)</f>
        <v>3</v>
      </c>
      <c r="Q18" s="50" t="str">
        <f>IF(O12:O18="Ынта төмендеді","1. Жеке тапсырма беру; 2. Практикалық мысалдар келтіру; 3. Шағын мақсаттар қою; 4. Оқушының пікірін сұрау; 5. Ойын элементтерін қосу",
IF(AND(N15&gt;3, N17&gt;3), "1. Базалық білімді қалпына келтіру; 2. Қосымша сабақтар; 3. Жеңіл тапсырмалар арқылы сәттілік сезімін ояту; 4. Ата-анамен байланыс; 5. Пәнді өмірмен байланыстыру",
 "Ынта қалыпты, ынталандыруды жалғастыру"))</f>
        <v>1. Базалық білімді қалпына келтіру; 2. Қосымша сабақтар; 3. Жеңіл тапсырмалар арқылы сәттілік сезімін ояту; 4. Ата-анамен байланыс; 5. Пәнді өмірмен байланыстыру</v>
      </c>
    </row>
    <row r="19" spans="1:17" ht="22.5" thickBot="1" x14ac:dyDescent="0.4">
      <c r="A19" s="41"/>
      <c r="B19" s="41"/>
      <c r="C19" s="22" t="s">
        <v>115</v>
      </c>
      <c r="D19" s="23" t="s">
        <v>116</v>
      </c>
      <c r="E19" s="23">
        <v>5</v>
      </c>
      <c r="F19" s="23">
        <v>5</v>
      </c>
      <c r="G19" s="23">
        <v>5</v>
      </c>
      <c r="H19" s="23">
        <v>5</v>
      </c>
      <c r="I19" s="23">
        <v>5</v>
      </c>
      <c r="J19" s="23">
        <v>5</v>
      </c>
      <c r="K19" s="23">
        <v>5</v>
      </c>
      <c r="L19" s="23">
        <v>5</v>
      </c>
      <c r="M19" s="25" t="str">
        <f t="shared" ref="M19:M25" si="3">IF(MIN(D19:L19)=5, "Отличник", IF(MIN(D19:L19)&gt;=4, "Хорошист", IF(MIN(D19:L19)=3, "Троечник", "Двоечник")))</f>
        <v>Отличник</v>
      </c>
      <c r="N19" s="25" t="str">
        <f t="shared" ref="N19:N25" si="4">IF(MIN(D19:L19)=5, "5", IF(MIN(D19:L19)&gt;=4, "4", IF(MIN(D19:L19)=3, "3")))</f>
        <v>5</v>
      </c>
    </row>
    <row r="20" spans="1:17" ht="22.5" thickBot="1" x14ac:dyDescent="0.4">
      <c r="A20" s="41"/>
      <c r="B20" s="41"/>
      <c r="C20" s="22" t="s">
        <v>117</v>
      </c>
      <c r="D20" s="23">
        <v>5</v>
      </c>
      <c r="E20" s="23">
        <v>5</v>
      </c>
      <c r="F20" s="23">
        <v>5</v>
      </c>
      <c r="G20" s="23">
        <v>5</v>
      </c>
      <c r="H20" s="23">
        <v>5</v>
      </c>
      <c r="I20" s="23">
        <v>5</v>
      </c>
      <c r="J20" s="23">
        <v>5</v>
      </c>
      <c r="K20" s="23">
        <v>5</v>
      </c>
      <c r="L20" s="23">
        <v>5</v>
      </c>
      <c r="M20" s="25" t="str">
        <f t="shared" si="3"/>
        <v>Отличник</v>
      </c>
      <c r="N20" s="25" t="str">
        <f t="shared" si="4"/>
        <v>5</v>
      </c>
      <c r="O20" s="46" t="str">
        <f>IF(OR(N20&lt;N19,AND(N20&lt;=3,N20&lt;=3)),"Ынта төмендеді","Ынта тұрақты")</f>
        <v>Ынта тұрақты</v>
      </c>
    </row>
    <row r="21" spans="1:17" ht="22.5" thickBot="1" x14ac:dyDescent="0.4">
      <c r="A21" s="41"/>
      <c r="B21" s="41"/>
      <c r="C21" s="22" t="s">
        <v>118</v>
      </c>
      <c r="D21" s="23" t="s">
        <v>116</v>
      </c>
      <c r="E21" s="23">
        <v>5</v>
      </c>
      <c r="F21" s="23">
        <v>5</v>
      </c>
      <c r="G21" s="23">
        <v>5</v>
      </c>
      <c r="H21" s="23">
        <v>5</v>
      </c>
      <c r="I21" s="23">
        <v>5</v>
      </c>
      <c r="J21" s="23">
        <v>5</v>
      </c>
      <c r="K21" s="23">
        <v>5</v>
      </c>
      <c r="L21" s="23">
        <v>5</v>
      </c>
      <c r="M21" s="25" t="str">
        <f t="shared" si="3"/>
        <v>Отличник</v>
      </c>
      <c r="N21" s="25" t="str">
        <f t="shared" si="4"/>
        <v>5</v>
      </c>
      <c r="O21" s="46" t="str">
        <f t="shared" ref="O21:O25" si="5">IF(OR(N21&lt;N20,AND(N21&lt;=3,N21&lt;=3)),"Ынта төмендеді","Ынта тұрақты")</f>
        <v>Ынта тұрақты</v>
      </c>
    </row>
    <row r="22" spans="1:17" ht="22.5" thickBot="1" x14ac:dyDescent="0.4">
      <c r="A22" s="41"/>
      <c r="B22" s="41"/>
      <c r="C22" s="22" t="s">
        <v>119</v>
      </c>
      <c r="D22" s="23">
        <v>5</v>
      </c>
      <c r="E22" s="23">
        <v>5</v>
      </c>
      <c r="F22" s="23">
        <v>5</v>
      </c>
      <c r="G22" s="23">
        <v>5</v>
      </c>
      <c r="H22" s="23">
        <v>5</v>
      </c>
      <c r="I22" s="23">
        <v>4</v>
      </c>
      <c r="J22" s="23">
        <v>5</v>
      </c>
      <c r="K22" s="23">
        <v>5</v>
      </c>
      <c r="L22" s="23">
        <v>5</v>
      </c>
      <c r="M22" s="25" t="str">
        <f t="shared" si="3"/>
        <v>Хорошист</v>
      </c>
      <c r="N22" s="25" t="str">
        <f t="shared" si="4"/>
        <v>4</v>
      </c>
      <c r="O22" s="46" t="str">
        <f t="shared" si="5"/>
        <v>Ынта төмендеді</v>
      </c>
    </row>
    <row r="23" spans="1:17" ht="22.5" thickBot="1" x14ac:dyDescent="0.4">
      <c r="A23" s="41"/>
      <c r="B23" s="41"/>
      <c r="C23" s="22" t="s">
        <v>120</v>
      </c>
      <c r="D23" s="23">
        <v>5</v>
      </c>
      <c r="E23" s="23">
        <v>5</v>
      </c>
      <c r="F23" s="23">
        <v>5</v>
      </c>
      <c r="G23" s="23">
        <v>5</v>
      </c>
      <c r="H23" s="23">
        <v>5</v>
      </c>
      <c r="I23" s="23">
        <v>5</v>
      </c>
      <c r="J23" s="23">
        <v>5</v>
      </c>
      <c r="K23" s="23">
        <v>5</v>
      </c>
      <c r="L23" s="23">
        <v>5</v>
      </c>
      <c r="M23" s="25" t="str">
        <f t="shared" si="3"/>
        <v>Отличник</v>
      </c>
      <c r="N23" s="25" t="str">
        <f t="shared" si="4"/>
        <v>5</v>
      </c>
      <c r="O23" s="46" t="str">
        <f t="shared" si="5"/>
        <v>Ынта тұрақты</v>
      </c>
      <c r="Q23" s="48" t="str">
        <f>IF(N20&lt;N19, "2-тоқсанда ынта төмендеді", IF(N21&lt;N20, "3-тоқсанда ынта төмендеді", IF(N22&lt;N21, "4-тоқсанда ынта төмендеді", "Төмендеу жоқ")))</f>
        <v>4-тоқсанда ынта төмендеді</v>
      </c>
    </row>
    <row r="24" spans="1:17" ht="22.5" thickBot="1" x14ac:dyDescent="0.4">
      <c r="A24" s="41"/>
      <c r="B24" s="41"/>
      <c r="C24" s="22" t="s">
        <v>121</v>
      </c>
      <c r="D24" s="23" t="s">
        <v>116</v>
      </c>
      <c r="E24" s="23" t="s">
        <v>116</v>
      </c>
      <c r="F24" s="23" t="s">
        <v>116</v>
      </c>
      <c r="G24" s="23" t="s">
        <v>116</v>
      </c>
      <c r="H24" s="23">
        <v>5</v>
      </c>
      <c r="I24" s="23" t="s">
        <v>116</v>
      </c>
      <c r="J24" s="23" t="s">
        <v>116</v>
      </c>
      <c r="K24" s="23" t="s">
        <v>116</v>
      </c>
      <c r="L24" s="23" t="s">
        <v>116</v>
      </c>
      <c r="M24" s="25" t="str">
        <f t="shared" si="3"/>
        <v>Отличник</v>
      </c>
      <c r="N24" s="25" t="str">
        <f t="shared" si="4"/>
        <v>5</v>
      </c>
      <c r="O24" s="46" t="str">
        <f t="shared" si="5"/>
        <v>Ынта тұрақты</v>
      </c>
    </row>
    <row r="25" spans="1:17" ht="22.5" thickBot="1" x14ac:dyDescent="0.4">
      <c r="A25" s="42"/>
      <c r="B25" s="42"/>
      <c r="C25" s="22" t="s">
        <v>122</v>
      </c>
      <c r="D25" s="23" t="s">
        <v>116</v>
      </c>
      <c r="E25" s="23" t="s">
        <v>116</v>
      </c>
      <c r="F25" s="23" t="s">
        <v>116</v>
      </c>
      <c r="G25" s="23" t="s">
        <v>116</v>
      </c>
      <c r="H25" s="23">
        <v>5</v>
      </c>
      <c r="I25" s="23" t="s">
        <v>116</v>
      </c>
      <c r="J25" s="23" t="s">
        <v>116</v>
      </c>
      <c r="K25" s="23" t="s">
        <v>116</v>
      </c>
      <c r="L25" s="23" t="s">
        <v>116</v>
      </c>
      <c r="M25" s="25" t="str">
        <f t="shared" si="3"/>
        <v>Отличник</v>
      </c>
      <c r="N25" s="25" t="str">
        <f t="shared" si="4"/>
        <v>5</v>
      </c>
      <c r="O25" s="46" t="str">
        <f t="shared" si="5"/>
        <v>Ынта тұрақты</v>
      </c>
    </row>
    <row r="26" spans="1:17" ht="30.75" customHeight="1" thickBot="1" x14ac:dyDescent="0.4">
      <c r="A26" s="40">
        <v>3</v>
      </c>
      <c r="B26" s="40" t="s">
        <v>124</v>
      </c>
      <c r="C26" s="51" t="str">
        <f>IF(O20:O26="Ынта төмендеді","1. Жеке тапсырма беру; 2. Практикалық мысалдар келтіру; 3. Шағын мақсаттар қою; 4. Оқушының пікірін сұрау; 5. Ойын элементтерін қосу",
IF(AND(N23&gt;3, N25&gt;3), "1. Базалық білімді қалпына келтіру; 2. Қосымша сабақтар; 3. Жеңіл тапсырмалар арқылы сәттілік сезімін ояту; 4. Ата-анамен байланыс; 5. Пәнді өмірмен байланыстыру",
 "Ынта қалыпты, ынталандыруды жалғастыру"))</f>
        <v>1. Базалық білімді қалпына келтіру; 2. Қосымша сабақтар; 3. Жеңіл тапсырмалар арқылы сәттілік сезімін ояту; 4. Ата-анамен байланыс; 5. Пәнді өмірмен байланыстыру</v>
      </c>
      <c r="D26" s="52"/>
      <c r="E26" s="52"/>
      <c r="F26" s="52"/>
      <c r="G26" s="52"/>
      <c r="H26" s="52"/>
      <c r="I26" s="52"/>
      <c r="J26" s="52"/>
      <c r="K26" s="52"/>
      <c r="L26" s="52"/>
      <c r="N26" s="29">
        <f>AVERAGE(D23:L25)</f>
        <v>5</v>
      </c>
      <c r="O26" s="29"/>
      <c r="P26" s="30">
        <f>ROUNDDOWN(N26, 0)</f>
        <v>5</v>
      </c>
    </row>
    <row r="27" spans="1:17" ht="22.5" thickBot="1" x14ac:dyDescent="0.4">
      <c r="A27" s="41"/>
      <c r="B27" s="41"/>
      <c r="C27" s="22" t="s">
        <v>115</v>
      </c>
      <c r="D27" s="23" t="s">
        <v>116</v>
      </c>
      <c r="E27" s="23">
        <v>5</v>
      </c>
      <c r="F27" s="23">
        <v>4</v>
      </c>
      <c r="G27" s="23">
        <v>5</v>
      </c>
      <c r="H27" s="23">
        <v>5</v>
      </c>
      <c r="I27" s="23">
        <v>5</v>
      </c>
      <c r="J27" s="23">
        <v>4</v>
      </c>
      <c r="K27" s="23">
        <v>5</v>
      </c>
      <c r="L27" s="23">
        <v>5</v>
      </c>
      <c r="M27" s="25" t="str">
        <f t="shared" ref="M27:M33" si="6">IF(MIN(D27:L27)=5, "Отличник", IF(MIN(D27:L27)&gt;=4, "Хорошист", IF(MIN(D27:L27)=3, "Троечник", "Двоечник")))</f>
        <v>Хорошист</v>
      </c>
      <c r="N27" s="25" t="str">
        <f t="shared" ref="N27:N33" si="7">IF(MIN(D27:L27)=5, "5", IF(MIN(D27:L27)&gt;=4, "4", IF(MIN(D27:L27)=3, "3")))</f>
        <v>4</v>
      </c>
    </row>
    <row r="28" spans="1:17" ht="22.5" thickBot="1" x14ac:dyDescent="0.4">
      <c r="A28" s="41"/>
      <c r="B28" s="41"/>
      <c r="C28" s="22" t="s">
        <v>117</v>
      </c>
      <c r="D28" s="23">
        <v>5</v>
      </c>
      <c r="E28" s="23">
        <v>5</v>
      </c>
      <c r="F28" s="23">
        <v>5</v>
      </c>
      <c r="G28" s="23">
        <v>5</v>
      </c>
      <c r="H28" s="23">
        <v>5</v>
      </c>
      <c r="I28" s="23">
        <v>5</v>
      </c>
      <c r="J28" s="23">
        <v>5</v>
      </c>
      <c r="K28" s="23">
        <v>5</v>
      </c>
      <c r="L28" s="23">
        <v>5</v>
      </c>
      <c r="M28" s="25" t="str">
        <f t="shared" si="6"/>
        <v>Отличник</v>
      </c>
      <c r="N28" s="25" t="str">
        <f t="shared" si="7"/>
        <v>5</v>
      </c>
      <c r="O28" s="46" t="str">
        <f>IF(OR(N28&lt;N27,AND(N28&lt;=3,N28&lt;=3)),"Ынта төмендеді","Ынта тұрақты")</f>
        <v>Ынта тұрақты</v>
      </c>
    </row>
    <row r="29" spans="1:17" ht="22.5" thickBot="1" x14ac:dyDescent="0.4">
      <c r="A29" s="41"/>
      <c r="B29" s="41"/>
      <c r="C29" s="22" t="s">
        <v>118</v>
      </c>
      <c r="D29" s="23" t="s">
        <v>116</v>
      </c>
      <c r="E29" s="23">
        <v>5</v>
      </c>
      <c r="F29" s="23">
        <v>5</v>
      </c>
      <c r="G29" s="23">
        <v>5</v>
      </c>
      <c r="H29" s="23">
        <v>5</v>
      </c>
      <c r="I29" s="23">
        <v>5</v>
      </c>
      <c r="J29" s="23">
        <v>5</v>
      </c>
      <c r="K29" s="23">
        <v>5</v>
      </c>
      <c r="L29" s="23">
        <v>5</v>
      </c>
      <c r="M29" s="25" t="str">
        <f t="shared" si="6"/>
        <v>Отличник</v>
      </c>
      <c r="N29" s="25" t="str">
        <f t="shared" si="7"/>
        <v>5</v>
      </c>
      <c r="O29" s="46" t="str">
        <f t="shared" ref="O29:O33" si="8">IF(OR(N29&lt;N28,AND(N29&lt;=3,N29&lt;=3)),"Ынта төмендеді","Ынта тұрақты")</f>
        <v>Ынта тұрақты</v>
      </c>
    </row>
    <row r="30" spans="1:17" ht="22.5" thickBot="1" x14ac:dyDescent="0.4">
      <c r="A30" s="41"/>
      <c r="B30" s="41"/>
      <c r="C30" s="22" t="s">
        <v>119</v>
      </c>
      <c r="D30" s="23">
        <v>5</v>
      </c>
      <c r="E30" s="23">
        <v>5</v>
      </c>
      <c r="F30" s="23">
        <v>5</v>
      </c>
      <c r="G30" s="23">
        <v>5</v>
      </c>
      <c r="H30" s="23">
        <v>5</v>
      </c>
      <c r="I30" s="23">
        <v>5</v>
      </c>
      <c r="J30" s="23">
        <v>5</v>
      </c>
      <c r="K30" s="23">
        <v>5</v>
      </c>
      <c r="L30" s="23">
        <v>5</v>
      </c>
      <c r="M30" s="25" t="str">
        <f t="shared" si="6"/>
        <v>Отличник</v>
      </c>
      <c r="N30" s="25" t="str">
        <f t="shared" si="7"/>
        <v>5</v>
      </c>
      <c r="O30" s="46" t="str">
        <f t="shared" si="8"/>
        <v>Ынта тұрақты</v>
      </c>
    </row>
    <row r="31" spans="1:17" ht="22.5" thickBot="1" x14ac:dyDescent="0.4">
      <c r="A31" s="41"/>
      <c r="B31" s="41"/>
      <c r="C31" s="22" t="s">
        <v>120</v>
      </c>
      <c r="D31" s="23">
        <v>5</v>
      </c>
      <c r="E31" s="23">
        <v>5</v>
      </c>
      <c r="F31" s="23">
        <v>5</v>
      </c>
      <c r="G31" s="23">
        <v>5</v>
      </c>
      <c r="H31" s="23">
        <v>5</v>
      </c>
      <c r="I31" s="23">
        <v>5</v>
      </c>
      <c r="J31" s="23">
        <v>5</v>
      </c>
      <c r="K31" s="23">
        <v>5</v>
      </c>
      <c r="L31" s="23">
        <v>5</v>
      </c>
      <c r="M31" s="25" t="str">
        <f t="shared" si="6"/>
        <v>Отличник</v>
      </c>
      <c r="N31" s="25" t="str">
        <f t="shared" si="7"/>
        <v>5</v>
      </c>
      <c r="O31" s="46" t="str">
        <f t="shared" si="8"/>
        <v>Ынта тұрақты</v>
      </c>
      <c r="Q31" s="48" t="str">
        <f>IF(N28&lt;N27, "2-тоқсанда ынта төмендеді", IF(N29&lt;N28, "3-тоқсанда ынта төмендеді", IF(N30&lt;N29, "4-тоқсанда ынта төмендеді", "Төмендеу жоқ")))</f>
        <v>Төмендеу жоқ</v>
      </c>
    </row>
    <row r="32" spans="1:17" ht="22.5" thickBot="1" x14ac:dyDescent="0.4">
      <c r="A32" s="41"/>
      <c r="B32" s="41"/>
      <c r="C32" s="22" t="s">
        <v>121</v>
      </c>
      <c r="D32" s="23" t="s">
        <v>116</v>
      </c>
      <c r="E32" s="23" t="s">
        <v>116</v>
      </c>
      <c r="F32" s="23" t="s">
        <v>116</v>
      </c>
      <c r="G32" s="23" t="s">
        <v>116</v>
      </c>
      <c r="H32" s="23">
        <v>5</v>
      </c>
      <c r="I32" s="23" t="s">
        <v>116</v>
      </c>
      <c r="J32" s="23" t="s">
        <v>116</v>
      </c>
      <c r="K32" s="23" t="s">
        <v>116</v>
      </c>
      <c r="L32" s="23" t="s">
        <v>116</v>
      </c>
      <c r="M32" s="25" t="str">
        <f t="shared" si="6"/>
        <v>Отличник</v>
      </c>
      <c r="N32" s="25" t="str">
        <f t="shared" si="7"/>
        <v>5</v>
      </c>
      <c r="O32" s="46" t="str">
        <f t="shared" si="8"/>
        <v>Ынта тұрақты</v>
      </c>
    </row>
    <row r="33" spans="1:17" ht="22.5" thickBot="1" x14ac:dyDescent="0.4">
      <c r="A33" s="42"/>
      <c r="B33" s="42"/>
      <c r="C33" s="22" t="s">
        <v>122</v>
      </c>
      <c r="D33" s="23" t="s">
        <v>116</v>
      </c>
      <c r="E33" s="23" t="s">
        <v>116</v>
      </c>
      <c r="F33" s="23" t="s">
        <v>116</v>
      </c>
      <c r="G33" s="23" t="s">
        <v>116</v>
      </c>
      <c r="H33" s="23">
        <v>5</v>
      </c>
      <c r="I33" s="23" t="s">
        <v>116</v>
      </c>
      <c r="J33" s="23" t="s">
        <v>116</v>
      </c>
      <c r="K33" s="23" t="s">
        <v>116</v>
      </c>
      <c r="L33" s="23" t="s">
        <v>116</v>
      </c>
      <c r="M33" s="25" t="str">
        <f t="shared" si="6"/>
        <v>Отличник</v>
      </c>
      <c r="N33" s="25" t="str">
        <f t="shared" si="7"/>
        <v>5</v>
      </c>
      <c r="O33" s="46" t="str">
        <f t="shared" si="8"/>
        <v>Ынта тұрақты</v>
      </c>
    </row>
    <row r="34" spans="1:17" ht="31.5" customHeight="1" thickBot="1" x14ac:dyDescent="0.4">
      <c r="A34" s="40">
        <v>4</v>
      </c>
      <c r="B34" s="40" t="s">
        <v>125</v>
      </c>
      <c r="C34" s="51" t="str">
        <f>IF(O28:O34="Ынта төмендеді","1. Жеке тапсырма беру; 2. Практикалық мысалдар келтіру; 3. Шағын мақсаттар қою; 4. Оқушының пікірін сұрау; 5. Ойын элементтерін қосу",
IF(AND(N31&gt;3, N33&gt;3), "1. Базалық білімді қалпына келтіру; 2. Қосымша сабақтар; 3. Жеңіл тапсырмалар арқылы сәттілік сезімін ояту; 4. Ата-анамен байланыс; 5. Пәнді өмірмен байланыстыру",
 "Ынта қалыпты, ынталандыруды жалғастыру"))</f>
        <v>1. Базалық білімді қалпына келтіру; 2. Қосымша сабақтар; 3. Жеңіл тапсырмалар арқылы сәттілік сезімін ояту; 4. Ата-анамен байланыс; 5. Пәнді өмірмен байланыстыру</v>
      </c>
      <c r="D34" s="52"/>
      <c r="E34" s="52"/>
      <c r="F34" s="52"/>
      <c r="G34" s="52"/>
      <c r="H34" s="52"/>
      <c r="I34" s="52"/>
      <c r="J34" s="52"/>
      <c r="K34" s="52"/>
      <c r="L34" s="52"/>
      <c r="N34" s="27">
        <f>AVERAGE(D31:L33)</f>
        <v>5</v>
      </c>
      <c r="O34" s="27"/>
      <c r="P34" s="30">
        <f>ROUNDDOWN(N34, 0)</f>
        <v>5</v>
      </c>
    </row>
    <row r="35" spans="1:17" ht="22.5" thickBot="1" x14ac:dyDescent="0.4">
      <c r="A35" s="41"/>
      <c r="B35" s="41"/>
      <c r="C35" s="22" t="s">
        <v>115</v>
      </c>
      <c r="D35" s="23" t="s">
        <v>116</v>
      </c>
      <c r="E35" s="23" t="s">
        <v>116</v>
      </c>
      <c r="F35" s="23" t="s">
        <v>116</v>
      </c>
      <c r="G35" s="23" t="s">
        <v>116</v>
      </c>
      <c r="H35" s="23" t="s">
        <v>116</v>
      </c>
      <c r="I35" s="23" t="s">
        <v>116</v>
      </c>
      <c r="J35" s="23" t="s">
        <v>116</v>
      </c>
      <c r="K35" s="23" t="s">
        <v>116</v>
      </c>
      <c r="L35" s="23" t="s">
        <v>116</v>
      </c>
      <c r="N35" s="28"/>
      <c r="O35" s="28"/>
    </row>
    <row r="36" spans="1:17" ht="22.5" thickBot="1" x14ac:dyDescent="0.4">
      <c r="A36" s="41"/>
      <c r="B36" s="41"/>
      <c r="C36" s="22" t="s">
        <v>117</v>
      </c>
      <c r="D36" s="23" t="s">
        <v>116</v>
      </c>
      <c r="E36" s="23" t="s">
        <v>116</v>
      </c>
      <c r="F36" s="23" t="s">
        <v>116</v>
      </c>
      <c r="G36" s="23" t="s">
        <v>116</v>
      </c>
      <c r="H36" s="23" t="s">
        <v>116</v>
      </c>
      <c r="I36" s="23" t="s">
        <v>116</v>
      </c>
      <c r="J36" s="23" t="s">
        <v>116</v>
      </c>
      <c r="K36" s="23" t="s">
        <v>116</v>
      </c>
      <c r="L36" s="23" t="s">
        <v>116</v>
      </c>
      <c r="N36" s="28"/>
      <c r="O36" s="46" t="str">
        <f>IF(OR(N36&lt;N35,AND(N36&lt;=3,N36&lt;=3)),"Ынта төмендеді","Ынта тұрақты")</f>
        <v>Ынта төмендеді</v>
      </c>
    </row>
    <row r="37" spans="1:17" ht="22.5" thickBot="1" x14ac:dyDescent="0.4">
      <c r="A37" s="41"/>
      <c r="B37" s="41"/>
      <c r="C37" s="22" t="s">
        <v>118</v>
      </c>
      <c r="D37" s="23" t="s">
        <v>116</v>
      </c>
      <c r="E37" s="23">
        <v>4</v>
      </c>
      <c r="F37" s="23">
        <v>4</v>
      </c>
      <c r="G37" s="23">
        <v>3</v>
      </c>
      <c r="H37" s="23">
        <v>3</v>
      </c>
      <c r="I37" s="23">
        <v>3</v>
      </c>
      <c r="J37" s="23">
        <v>3</v>
      </c>
      <c r="K37" s="23">
        <v>4</v>
      </c>
      <c r="L37" s="23">
        <v>4</v>
      </c>
      <c r="M37" s="25" t="str">
        <f>IF(MIN(D37:L37)=5, "Отличник", IF(MIN(D37:L37)&gt;=4, "Хорошист", IF(MIN(D37:L37)=3, "Троечник", "Двоечник")))</f>
        <v>Троечник</v>
      </c>
      <c r="N37" s="28" t="str">
        <f>IF(MIN(D37:L37)=5, "5", IF(MIN(D37:L37)&gt;=4, "4", IF(MIN(D37:L37)=3, "3")))</f>
        <v>3</v>
      </c>
      <c r="O37" s="46" t="str">
        <f t="shared" ref="O37:O41" si="9">IF(OR(N37&lt;N36,AND(N37&lt;=3,N37&lt;=3)),"Ынта төмендеді","Ынта тұрақты")</f>
        <v>Ынта тұрақты</v>
      </c>
    </row>
    <row r="38" spans="1:17" ht="22.5" thickBot="1" x14ac:dyDescent="0.4">
      <c r="A38" s="41"/>
      <c r="B38" s="41"/>
      <c r="C38" s="22" t="s">
        <v>119</v>
      </c>
      <c r="D38" s="23" t="s">
        <v>116</v>
      </c>
      <c r="E38" s="23" t="s">
        <v>116</v>
      </c>
      <c r="F38" s="23" t="s">
        <v>116</v>
      </c>
      <c r="G38" s="23" t="s">
        <v>116</v>
      </c>
      <c r="H38" s="23" t="s">
        <v>116</v>
      </c>
      <c r="I38" s="23" t="s">
        <v>116</v>
      </c>
      <c r="J38" s="23" t="s">
        <v>116</v>
      </c>
      <c r="K38" s="23" t="s">
        <v>116</v>
      </c>
      <c r="L38" s="23" t="s">
        <v>116</v>
      </c>
      <c r="N38" s="28"/>
      <c r="O38" s="46" t="str">
        <f t="shared" si="9"/>
        <v>Ынта төмендеді</v>
      </c>
    </row>
    <row r="39" spans="1:17" ht="22.5" thickBot="1" x14ac:dyDescent="0.4">
      <c r="A39" s="41"/>
      <c r="B39" s="41"/>
      <c r="C39" s="22" t="s">
        <v>120</v>
      </c>
      <c r="D39" s="23">
        <v>4</v>
      </c>
      <c r="E39" s="23">
        <v>4</v>
      </c>
      <c r="F39" s="23">
        <v>4</v>
      </c>
      <c r="G39" s="23">
        <v>4</v>
      </c>
      <c r="H39" s="23">
        <v>4</v>
      </c>
      <c r="I39" s="23">
        <v>4</v>
      </c>
      <c r="J39" s="23">
        <v>3</v>
      </c>
      <c r="K39" s="23">
        <v>4</v>
      </c>
      <c r="L39" s="23">
        <v>4</v>
      </c>
      <c r="M39" s="25" t="str">
        <f>IF(MIN(D39:L39)=5, "Отличник", IF(MIN(D39:L39)&gt;=4, "Хорошист", IF(MIN(D39:L39)=3, "Троечник", "Двоечник")))</f>
        <v>Троечник</v>
      </c>
      <c r="N39" s="28" t="str">
        <f>IF(MIN(D39:L39)=5, "5", IF(MIN(D39:L39)&gt;=4, "4", IF(MIN(D39:L39)=3, "3")))</f>
        <v>3</v>
      </c>
      <c r="O39" s="46" t="str">
        <f t="shared" si="9"/>
        <v>Ынта тұрақты</v>
      </c>
      <c r="Q39" s="48" t="str">
        <f>IF(N36&lt;N35, "2-тоқсанда ынта төмендеді", IF(N37&lt;N36, "3-тоқсанда ынта төмендеді", IF(N38&lt;N37, "4-тоқсанда ынта төмендеді", "Төмендеу жоқ")))</f>
        <v>4-тоқсанда ынта төмендеді</v>
      </c>
    </row>
    <row r="40" spans="1:17" ht="22.5" thickBot="1" x14ac:dyDescent="0.4">
      <c r="A40" s="41"/>
      <c r="B40" s="41"/>
      <c r="C40" s="22" t="s">
        <v>121</v>
      </c>
      <c r="D40" s="23" t="s">
        <v>116</v>
      </c>
      <c r="E40" s="23" t="s">
        <v>116</v>
      </c>
      <c r="F40" s="23" t="s">
        <v>116</v>
      </c>
      <c r="G40" s="23" t="s">
        <v>116</v>
      </c>
      <c r="H40" s="23" t="s">
        <v>116</v>
      </c>
      <c r="I40" s="23" t="s">
        <v>116</v>
      </c>
      <c r="J40" s="23" t="s">
        <v>116</v>
      </c>
      <c r="K40" s="23" t="s">
        <v>116</v>
      </c>
      <c r="L40" s="23" t="s">
        <v>116</v>
      </c>
      <c r="N40" s="28"/>
      <c r="O40" s="46" t="str">
        <f t="shared" si="9"/>
        <v>Ынта төмендеді</v>
      </c>
    </row>
    <row r="41" spans="1:17" ht="22.5" thickBot="1" x14ac:dyDescent="0.4">
      <c r="A41" s="42"/>
      <c r="B41" s="42"/>
      <c r="C41" s="22" t="s">
        <v>122</v>
      </c>
      <c r="D41" s="23" t="s">
        <v>116</v>
      </c>
      <c r="E41" s="23" t="s">
        <v>116</v>
      </c>
      <c r="F41" s="23" t="s">
        <v>116</v>
      </c>
      <c r="G41" s="23" t="s">
        <v>116</v>
      </c>
      <c r="H41" s="23" t="s">
        <v>116</v>
      </c>
      <c r="I41" s="23" t="s">
        <v>116</v>
      </c>
      <c r="J41" s="23" t="s">
        <v>116</v>
      </c>
      <c r="K41" s="23" t="s">
        <v>116</v>
      </c>
      <c r="L41" s="23" t="s">
        <v>116</v>
      </c>
      <c r="N41" s="27"/>
      <c r="O41" s="46" t="str">
        <f t="shared" si="9"/>
        <v>Ынта төмендеді</v>
      </c>
    </row>
    <row r="42" spans="1:17" ht="31.5" customHeight="1" thickBot="1" x14ac:dyDescent="0.4">
      <c r="A42" s="40">
        <v>5</v>
      </c>
      <c r="B42" s="40" t="s">
        <v>126</v>
      </c>
      <c r="C42" s="51" t="str">
        <f>IF(O36:O42="Ынта төмендеді","1. Жеке тапсырма беру; 2. Практикалық мысалдар келтіру; 3. Шағын мақсаттар қою; 4. Оқушының пікірін сұрау; 5. Ойын элементтерін қосу",
IF(AND(N39&gt;3, N41&gt;3), "1. Базалық білімді қалпына келтіру; 2. Қосымша сабақтар; 3. Жеңіл тапсырмалар арқылы сәттілік сезімін ояту; 4. Ата-анамен байланыс; 5. Пәнді өмірмен байланыстыру",
 "Ынта қалыпты, ынталандыруды жалғастыру"))</f>
        <v>Ынта қалыпты, ынталандыруды жалғастыру</v>
      </c>
      <c r="D42" s="52"/>
      <c r="E42" s="52"/>
      <c r="F42" s="52"/>
      <c r="G42" s="52"/>
      <c r="H42" s="52"/>
      <c r="I42" s="52"/>
      <c r="J42" s="52"/>
      <c r="K42" s="52"/>
      <c r="L42" s="52"/>
      <c r="N42" s="29">
        <f>AVERAGE(D39:L41)</f>
        <v>3.8888888888888888</v>
      </c>
      <c r="O42" s="29"/>
      <c r="P42" s="30">
        <f>ROUNDDOWN(N42, 0)</f>
        <v>3</v>
      </c>
    </row>
    <row r="43" spans="1:17" ht="22.5" thickBot="1" x14ac:dyDescent="0.4">
      <c r="A43" s="41"/>
      <c r="B43" s="41"/>
      <c r="C43" s="22" t="s">
        <v>115</v>
      </c>
      <c r="D43" s="23" t="s">
        <v>116</v>
      </c>
      <c r="E43" s="23">
        <v>4</v>
      </c>
      <c r="F43" s="23">
        <v>4</v>
      </c>
      <c r="G43" s="23">
        <v>5</v>
      </c>
      <c r="H43" s="23">
        <v>5</v>
      </c>
      <c r="I43" s="23">
        <v>4</v>
      </c>
      <c r="J43" s="23">
        <v>4</v>
      </c>
      <c r="K43" s="23">
        <v>5</v>
      </c>
      <c r="L43" s="23">
        <v>5</v>
      </c>
      <c r="M43" s="25" t="str">
        <f t="shared" ref="M43:M49" si="10">IF(MIN(D43:L43)=5, "Отличник", IF(MIN(D43:L43)&gt;=4, "Хорошист", IF(MIN(D43:L43)=3, "Троечник", "Двоечник")))</f>
        <v>Хорошист</v>
      </c>
      <c r="N43" s="25" t="str">
        <f t="shared" ref="N43:N49" si="11">IF(MIN(D43:L43)=5, "5", IF(MIN(D43:L43)&gt;=4, "4", IF(MIN(D43:L43)=3, "3")))</f>
        <v>4</v>
      </c>
    </row>
    <row r="44" spans="1:17" ht="22.5" thickBot="1" x14ac:dyDescent="0.4">
      <c r="A44" s="41"/>
      <c r="B44" s="41"/>
      <c r="C44" s="22" t="s">
        <v>117</v>
      </c>
      <c r="D44" s="23">
        <v>4</v>
      </c>
      <c r="E44" s="23">
        <v>5</v>
      </c>
      <c r="F44" s="23">
        <v>5</v>
      </c>
      <c r="G44" s="23">
        <v>5</v>
      </c>
      <c r="H44" s="23">
        <v>5</v>
      </c>
      <c r="I44" s="23">
        <v>4</v>
      </c>
      <c r="J44" s="23">
        <v>5</v>
      </c>
      <c r="K44" s="23">
        <v>5</v>
      </c>
      <c r="L44" s="23">
        <v>5</v>
      </c>
      <c r="M44" s="25" t="str">
        <f t="shared" si="10"/>
        <v>Хорошист</v>
      </c>
      <c r="N44" s="25" t="str">
        <f t="shared" si="11"/>
        <v>4</v>
      </c>
      <c r="O44" s="46" t="str">
        <f>IF(OR(N44&lt;N43,AND(N44&lt;=3,N44&lt;=3)),"Ынта төмендеді","Ынта тұрақты")</f>
        <v>Ынта тұрақты</v>
      </c>
    </row>
    <row r="45" spans="1:17" ht="22.5" thickBot="1" x14ac:dyDescent="0.4">
      <c r="A45" s="41"/>
      <c r="B45" s="41"/>
      <c r="C45" s="22" t="s">
        <v>118</v>
      </c>
      <c r="D45" s="23" t="s">
        <v>116</v>
      </c>
      <c r="E45" s="23">
        <v>5</v>
      </c>
      <c r="F45" s="23">
        <v>5</v>
      </c>
      <c r="G45" s="23">
        <v>5</v>
      </c>
      <c r="H45" s="23">
        <v>5</v>
      </c>
      <c r="I45" s="23">
        <v>5</v>
      </c>
      <c r="J45" s="23">
        <v>5</v>
      </c>
      <c r="K45" s="23">
        <v>5</v>
      </c>
      <c r="L45" s="23">
        <v>5</v>
      </c>
      <c r="M45" s="25" t="str">
        <f t="shared" si="10"/>
        <v>Отличник</v>
      </c>
      <c r="N45" s="25" t="str">
        <f t="shared" si="11"/>
        <v>5</v>
      </c>
      <c r="O45" s="46" t="str">
        <f t="shared" ref="O45:O49" si="12">IF(OR(N45&lt;N44,AND(N45&lt;=3,N45&lt;=3)),"Ынта төмендеді","Ынта тұрақты")</f>
        <v>Ынта тұрақты</v>
      </c>
    </row>
    <row r="46" spans="1:17" ht="22.5" thickBot="1" x14ac:dyDescent="0.4">
      <c r="A46" s="41"/>
      <c r="B46" s="41"/>
      <c r="C46" s="22" t="s">
        <v>119</v>
      </c>
      <c r="D46" s="23">
        <v>5</v>
      </c>
      <c r="E46" s="23">
        <v>5</v>
      </c>
      <c r="F46" s="23">
        <v>5</v>
      </c>
      <c r="G46" s="23">
        <v>5</v>
      </c>
      <c r="H46" s="23">
        <v>5</v>
      </c>
      <c r="I46" s="23">
        <v>5</v>
      </c>
      <c r="J46" s="23">
        <v>5</v>
      </c>
      <c r="K46" s="23">
        <v>5</v>
      </c>
      <c r="L46" s="23">
        <v>5</v>
      </c>
      <c r="M46" s="25" t="str">
        <f t="shared" si="10"/>
        <v>Отличник</v>
      </c>
      <c r="N46" s="25" t="str">
        <f t="shared" si="11"/>
        <v>5</v>
      </c>
      <c r="O46" s="46" t="str">
        <f t="shared" si="12"/>
        <v>Ынта тұрақты</v>
      </c>
    </row>
    <row r="47" spans="1:17" ht="22.5" thickBot="1" x14ac:dyDescent="0.4">
      <c r="A47" s="41"/>
      <c r="B47" s="41"/>
      <c r="C47" s="22" t="s">
        <v>120</v>
      </c>
      <c r="D47" s="23">
        <v>5</v>
      </c>
      <c r="E47" s="23">
        <v>5</v>
      </c>
      <c r="F47" s="23">
        <v>5</v>
      </c>
      <c r="G47" s="23">
        <v>5</v>
      </c>
      <c r="H47" s="23">
        <v>5</v>
      </c>
      <c r="I47" s="23">
        <v>5</v>
      </c>
      <c r="J47" s="23">
        <v>5</v>
      </c>
      <c r="K47" s="23">
        <v>5</v>
      </c>
      <c r="L47" s="23">
        <v>5</v>
      </c>
      <c r="M47" s="25" t="str">
        <f t="shared" si="10"/>
        <v>Отличник</v>
      </c>
      <c r="N47" s="25" t="str">
        <f t="shared" si="11"/>
        <v>5</v>
      </c>
      <c r="O47" s="46" t="str">
        <f t="shared" si="12"/>
        <v>Ынта тұрақты</v>
      </c>
      <c r="Q47" s="48" t="str">
        <f>IF(N44&lt;N43, "2-тоқсанда ынта төмендеді", IF(N45&lt;N44, "3-тоқсанда ынта төмендеді", IF(N46&lt;N45, "4-тоқсанда ынта төмендеді", "Төмендеу жоқ")))</f>
        <v>Төмендеу жоқ</v>
      </c>
    </row>
    <row r="48" spans="1:17" ht="22.5" thickBot="1" x14ac:dyDescent="0.4">
      <c r="A48" s="41"/>
      <c r="B48" s="41"/>
      <c r="C48" s="22" t="s">
        <v>121</v>
      </c>
      <c r="D48" s="23" t="s">
        <v>116</v>
      </c>
      <c r="E48" s="23" t="s">
        <v>116</v>
      </c>
      <c r="F48" s="23" t="s">
        <v>116</v>
      </c>
      <c r="G48" s="23" t="s">
        <v>116</v>
      </c>
      <c r="H48" s="23">
        <v>5</v>
      </c>
      <c r="I48" s="23" t="s">
        <v>116</v>
      </c>
      <c r="J48" s="23" t="s">
        <v>116</v>
      </c>
      <c r="K48" s="23" t="s">
        <v>116</v>
      </c>
      <c r="L48" s="23" t="s">
        <v>116</v>
      </c>
      <c r="M48" s="25" t="str">
        <f t="shared" si="10"/>
        <v>Отличник</v>
      </c>
      <c r="N48" s="25" t="str">
        <f t="shared" si="11"/>
        <v>5</v>
      </c>
      <c r="O48" s="46" t="str">
        <f t="shared" si="12"/>
        <v>Ынта тұрақты</v>
      </c>
    </row>
    <row r="49" spans="1:17" ht="22.5" thickBot="1" x14ac:dyDescent="0.4">
      <c r="A49" s="42"/>
      <c r="B49" s="42"/>
      <c r="C49" s="22" t="s">
        <v>122</v>
      </c>
      <c r="D49" s="23" t="s">
        <v>116</v>
      </c>
      <c r="E49" s="23" t="s">
        <v>116</v>
      </c>
      <c r="F49" s="23" t="s">
        <v>116</v>
      </c>
      <c r="G49" s="23" t="s">
        <v>116</v>
      </c>
      <c r="H49" s="23">
        <v>5</v>
      </c>
      <c r="I49" s="23" t="s">
        <v>116</v>
      </c>
      <c r="J49" s="23" t="s">
        <v>116</v>
      </c>
      <c r="K49" s="23" t="s">
        <v>116</v>
      </c>
      <c r="L49" s="23" t="s">
        <v>116</v>
      </c>
      <c r="M49" s="25" t="str">
        <f t="shared" si="10"/>
        <v>Отличник</v>
      </c>
      <c r="N49" s="25" t="str">
        <f t="shared" si="11"/>
        <v>5</v>
      </c>
      <c r="O49" s="46" t="str">
        <f t="shared" si="12"/>
        <v>Ынта тұрақты</v>
      </c>
    </row>
    <row r="50" spans="1:17" ht="36.75" customHeight="1" thickBot="1" x14ac:dyDescent="0.4">
      <c r="A50" s="40">
        <v>6</v>
      </c>
      <c r="B50" s="40" t="s">
        <v>127</v>
      </c>
      <c r="C50" s="51" t="str">
        <f>IF(O44:O50="Ынта төмендеді","1. Жеке тапсырма беру; 2. Практикалық мысалдар келтіру; 3. Шағын мақсаттар қою; 4. Оқушының пікірін сұрау; 5. Ойын элементтерін қосу",
IF(AND(N47&gt;3, N49&gt;3), "1. Базалық білімді қалпына келтіру; 2. Қосымша сабақтар; 3. Жеңіл тапсырмалар арқылы сәттілік сезімін ояту; 4. Ата-анамен байланыс; 5. Пәнді өмірмен байланыстыру",
 "Ынта қалыпты, ынталандыруды жалғастыру"))</f>
        <v>1. Базалық білімді қалпына келтіру; 2. Қосымша сабақтар; 3. Жеңіл тапсырмалар арқылы сәттілік сезімін ояту; 4. Ата-анамен байланыс; 5. Пәнді өмірмен байланыстыру</v>
      </c>
      <c r="D50" s="52"/>
      <c r="E50" s="52"/>
      <c r="F50" s="52"/>
      <c r="G50" s="52"/>
      <c r="H50" s="52"/>
      <c r="I50" s="52"/>
      <c r="J50" s="52"/>
      <c r="K50" s="52"/>
      <c r="L50" s="52"/>
      <c r="N50" s="29">
        <f>AVERAGE(D47:L49)</f>
        <v>5</v>
      </c>
      <c r="O50" s="29"/>
      <c r="P50" s="30">
        <f>ROUNDDOWN(N50, 0)</f>
        <v>5</v>
      </c>
    </row>
    <row r="51" spans="1:17" ht="22.5" thickBot="1" x14ac:dyDescent="0.4">
      <c r="A51" s="41"/>
      <c r="B51" s="41"/>
      <c r="C51" s="22" t="s">
        <v>115</v>
      </c>
      <c r="D51" s="23" t="s">
        <v>116</v>
      </c>
      <c r="E51" s="23">
        <v>5</v>
      </c>
      <c r="F51" s="23">
        <v>5</v>
      </c>
      <c r="G51" s="23">
        <v>5</v>
      </c>
      <c r="H51" s="23">
        <v>5</v>
      </c>
      <c r="I51" s="23">
        <v>5</v>
      </c>
      <c r="J51" s="23">
        <v>5</v>
      </c>
      <c r="K51" s="23">
        <v>5</v>
      </c>
      <c r="L51" s="23">
        <v>5</v>
      </c>
      <c r="M51" s="25" t="str">
        <f t="shared" ref="M51:M57" si="13">IF(MIN(D51:L51)=5, "Отличник", IF(MIN(D51:L51)&gt;=4, "Хорошист", IF(MIN(D51:L51)=3, "Троечник", "Двоечник")))</f>
        <v>Отличник</v>
      </c>
      <c r="N51" s="25" t="str">
        <f t="shared" ref="N51:N57" si="14">IF(MIN(D51:L51)=5, "5", IF(MIN(D51:L51)&gt;=4, "4", IF(MIN(D51:L51)=3, "3")))</f>
        <v>5</v>
      </c>
    </row>
    <row r="52" spans="1:17" ht="22.5" thickBot="1" x14ac:dyDescent="0.4">
      <c r="A52" s="41"/>
      <c r="B52" s="41"/>
      <c r="C52" s="22" t="s">
        <v>117</v>
      </c>
      <c r="D52" s="23">
        <v>4</v>
      </c>
      <c r="E52" s="23">
        <v>5</v>
      </c>
      <c r="F52" s="23">
        <v>5</v>
      </c>
      <c r="G52" s="23">
        <v>5</v>
      </c>
      <c r="H52" s="23">
        <v>5</v>
      </c>
      <c r="I52" s="23">
        <v>4</v>
      </c>
      <c r="J52" s="23">
        <v>5</v>
      </c>
      <c r="K52" s="23">
        <v>5</v>
      </c>
      <c r="L52" s="23">
        <v>5</v>
      </c>
      <c r="M52" s="25" t="str">
        <f t="shared" si="13"/>
        <v>Хорошист</v>
      </c>
      <c r="N52" s="25" t="str">
        <f t="shared" si="14"/>
        <v>4</v>
      </c>
      <c r="O52" s="46" t="str">
        <f>IF(OR(N52&lt;N51,AND(N52&lt;=3,N52&lt;=3)),"Ынта төмендеді","Ынта тұрақты")</f>
        <v>Ынта төмендеді</v>
      </c>
    </row>
    <row r="53" spans="1:17" ht="22.5" thickBot="1" x14ac:dyDescent="0.4">
      <c r="A53" s="41"/>
      <c r="B53" s="41"/>
      <c r="C53" s="22" t="s">
        <v>118</v>
      </c>
      <c r="D53" s="23" t="s">
        <v>116</v>
      </c>
      <c r="E53" s="23">
        <v>5</v>
      </c>
      <c r="F53" s="23">
        <v>5</v>
      </c>
      <c r="G53" s="23">
        <v>5</v>
      </c>
      <c r="H53" s="23">
        <v>5</v>
      </c>
      <c r="I53" s="23">
        <v>5</v>
      </c>
      <c r="J53" s="23">
        <v>5</v>
      </c>
      <c r="K53" s="23">
        <v>5</v>
      </c>
      <c r="L53" s="23">
        <v>5</v>
      </c>
      <c r="M53" s="25" t="str">
        <f t="shared" si="13"/>
        <v>Отличник</v>
      </c>
      <c r="N53" s="25" t="str">
        <f t="shared" si="14"/>
        <v>5</v>
      </c>
      <c r="O53" s="46" t="str">
        <f t="shared" ref="O53:O57" si="15">IF(OR(N53&lt;N52,AND(N53&lt;=3,N53&lt;=3)),"Ынта төмендеді","Ынта тұрақты")</f>
        <v>Ынта тұрақты</v>
      </c>
    </row>
    <row r="54" spans="1:17" ht="22.5" thickBot="1" x14ac:dyDescent="0.4">
      <c r="A54" s="41"/>
      <c r="B54" s="41"/>
      <c r="C54" s="22" t="s">
        <v>119</v>
      </c>
      <c r="D54" s="23">
        <v>5</v>
      </c>
      <c r="E54" s="23">
        <v>5</v>
      </c>
      <c r="F54" s="23">
        <v>5</v>
      </c>
      <c r="G54" s="23">
        <v>5</v>
      </c>
      <c r="H54" s="23">
        <v>5</v>
      </c>
      <c r="I54" s="23">
        <v>4</v>
      </c>
      <c r="J54" s="23">
        <v>5</v>
      </c>
      <c r="K54" s="23">
        <v>5</v>
      </c>
      <c r="L54" s="23">
        <v>5</v>
      </c>
      <c r="M54" s="25" t="str">
        <f t="shared" si="13"/>
        <v>Хорошист</v>
      </c>
      <c r="N54" s="25" t="str">
        <f t="shared" si="14"/>
        <v>4</v>
      </c>
      <c r="O54" s="46" t="str">
        <f t="shared" si="15"/>
        <v>Ынта төмендеді</v>
      </c>
    </row>
    <row r="55" spans="1:17" ht="22.5" thickBot="1" x14ac:dyDescent="0.4">
      <c r="A55" s="41"/>
      <c r="B55" s="41"/>
      <c r="C55" s="22" t="s">
        <v>120</v>
      </c>
      <c r="D55" s="23">
        <v>5</v>
      </c>
      <c r="E55" s="23">
        <v>5</v>
      </c>
      <c r="F55" s="23">
        <v>5</v>
      </c>
      <c r="G55" s="23">
        <v>5</v>
      </c>
      <c r="H55" s="23">
        <v>5</v>
      </c>
      <c r="I55" s="23">
        <v>5</v>
      </c>
      <c r="J55" s="23">
        <v>5</v>
      </c>
      <c r="K55" s="23">
        <v>5</v>
      </c>
      <c r="L55" s="23">
        <v>5</v>
      </c>
      <c r="M55" s="25" t="str">
        <f t="shared" si="13"/>
        <v>Отличник</v>
      </c>
      <c r="N55" s="25" t="str">
        <f t="shared" si="14"/>
        <v>5</v>
      </c>
      <c r="O55" s="46" t="str">
        <f t="shared" si="15"/>
        <v>Ынта тұрақты</v>
      </c>
      <c r="Q55" s="48" t="str">
        <f>IF(N52&lt;N51, "2-тоқсанда ынта төмендеді", IF(N53&lt;N52, "3-тоқсанда ынта төмендеді", IF(N54&lt;N53, "4-тоқсанда ынта төмендеді", "Төмендеу жоқ")))</f>
        <v>2-тоқсанда ынта төмендеді</v>
      </c>
    </row>
    <row r="56" spans="1:17" ht="22.5" thickBot="1" x14ac:dyDescent="0.4">
      <c r="A56" s="41"/>
      <c r="B56" s="41"/>
      <c r="C56" s="22" t="s">
        <v>121</v>
      </c>
      <c r="D56" s="23" t="s">
        <v>116</v>
      </c>
      <c r="E56" s="23" t="s">
        <v>116</v>
      </c>
      <c r="F56" s="23" t="s">
        <v>116</v>
      </c>
      <c r="G56" s="23" t="s">
        <v>116</v>
      </c>
      <c r="H56" s="23">
        <v>5</v>
      </c>
      <c r="I56" s="23" t="s">
        <v>116</v>
      </c>
      <c r="J56" s="23" t="s">
        <v>116</v>
      </c>
      <c r="K56" s="23" t="s">
        <v>116</v>
      </c>
      <c r="L56" s="23" t="s">
        <v>116</v>
      </c>
      <c r="M56" s="25" t="str">
        <f t="shared" si="13"/>
        <v>Отличник</v>
      </c>
      <c r="N56" s="25" t="str">
        <f t="shared" si="14"/>
        <v>5</v>
      </c>
      <c r="O56" s="46" t="str">
        <f t="shared" si="15"/>
        <v>Ынта тұрақты</v>
      </c>
    </row>
    <row r="57" spans="1:17" ht="22.5" thickBot="1" x14ac:dyDescent="0.4">
      <c r="A57" s="42"/>
      <c r="B57" s="42"/>
      <c r="C57" s="22" t="s">
        <v>122</v>
      </c>
      <c r="D57" s="23" t="s">
        <v>116</v>
      </c>
      <c r="E57" s="23" t="s">
        <v>116</v>
      </c>
      <c r="F57" s="23" t="s">
        <v>116</v>
      </c>
      <c r="G57" s="23" t="s">
        <v>116</v>
      </c>
      <c r="H57" s="23">
        <v>5</v>
      </c>
      <c r="I57" s="23" t="s">
        <v>116</v>
      </c>
      <c r="J57" s="23" t="s">
        <v>116</v>
      </c>
      <c r="K57" s="23" t="s">
        <v>116</v>
      </c>
      <c r="L57" s="23" t="s">
        <v>116</v>
      </c>
      <c r="M57" s="25" t="str">
        <f t="shared" si="13"/>
        <v>Отличник</v>
      </c>
      <c r="N57" s="25" t="str">
        <f t="shared" si="14"/>
        <v>5</v>
      </c>
      <c r="O57" s="46" t="str">
        <f t="shared" si="15"/>
        <v>Ынта тұрақты</v>
      </c>
    </row>
    <row r="58" spans="1:17" ht="32.25" customHeight="1" thickBot="1" x14ac:dyDescent="0.4">
      <c r="A58" s="40">
        <v>7</v>
      </c>
      <c r="B58" s="40" t="s">
        <v>128</v>
      </c>
      <c r="C58" s="51" t="str">
        <f>IF(O52:O58="Ынта төмендеді","1. Жеке тапсырма беру; 2. Практикалық мысалдар келтіру; 3. Шағын мақсаттар қою; 4. Оқушының пікірін сұрау; 5. Ойын элементтерін қосу",
IF(AND(N55&gt;3, N57&gt;3), "1. Базалық білімді қалпына келтіру; 2. Қосымша сабақтар; 3. Жеңіл тапсырмалар арқылы сәттілік сезімін ояту; 4. Ата-анамен байланыс; 5. Пәнді өмірмен байланыстыру",
 "Ынта қалыпты, ынталандыруды жалғастыру"))</f>
        <v>1. Базалық білімді қалпына келтіру; 2. Қосымша сабақтар; 3. Жеңіл тапсырмалар арқылы сәттілік сезімін ояту; 4. Ата-анамен байланыс; 5. Пәнді өмірмен байланыстыру</v>
      </c>
      <c r="D58" s="52"/>
      <c r="E58" s="52"/>
      <c r="F58" s="52"/>
      <c r="G58" s="52"/>
      <c r="H58" s="52"/>
      <c r="I58" s="52"/>
      <c r="J58" s="52"/>
      <c r="K58" s="52"/>
      <c r="L58" s="52"/>
      <c r="N58" s="29">
        <f>AVERAGE(D55:L57)</f>
        <v>5</v>
      </c>
      <c r="O58" s="29"/>
      <c r="P58" s="30">
        <f>ROUNDDOWN(N58, 0)</f>
        <v>5</v>
      </c>
    </row>
    <row r="59" spans="1:17" ht="22.5" thickBot="1" x14ac:dyDescent="0.4">
      <c r="A59" s="41"/>
      <c r="B59" s="41"/>
      <c r="C59" s="22" t="s">
        <v>115</v>
      </c>
      <c r="D59" s="23" t="s">
        <v>116</v>
      </c>
      <c r="E59" s="23">
        <v>5</v>
      </c>
      <c r="F59" s="23">
        <v>4</v>
      </c>
      <c r="G59" s="23">
        <v>4</v>
      </c>
      <c r="H59" s="23">
        <v>4</v>
      </c>
      <c r="I59" s="23">
        <v>5</v>
      </c>
      <c r="J59" s="23">
        <v>4</v>
      </c>
      <c r="K59" s="23">
        <v>4</v>
      </c>
      <c r="L59" s="23">
        <v>4</v>
      </c>
      <c r="M59" s="25" t="str">
        <f t="shared" ref="M59:M65" si="16">IF(MIN(D59:L59)=5, "Отличник", IF(MIN(D59:L59)&gt;=4, "Хорошист", IF(MIN(D59:L59)=3, "Троечник", "Двоечник")))</f>
        <v>Хорошист</v>
      </c>
      <c r="N59" s="25" t="str">
        <f t="shared" ref="N59:N65" si="17">IF(MIN(D59:L59)=5, "5", IF(MIN(D59:L59)&gt;=4, "4", IF(MIN(D59:L59)=3, "3")))</f>
        <v>4</v>
      </c>
    </row>
    <row r="60" spans="1:17" ht="22.5" thickBot="1" x14ac:dyDescent="0.4">
      <c r="A60" s="41"/>
      <c r="B60" s="41"/>
      <c r="C60" s="22" t="s">
        <v>117</v>
      </c>
      <c r="D60" s="23">
        <v>4</v>
      </c>
      <c r="E60" s="23">
        <v>4</v>
      </c>
      <c r="F60" s="23">
        <v>5</v>
      </c>
      <c r="G60" s="23">
        <v>4</v>
      </c>
      <c r="H60" s="23">
        <v>4</v>
      </c>
      <c r="I60" s="23">
        <v>4</v>
      </c>
      <c r="J60" s="23">
        <v>5</v>
      </c>
      <c r="K60" s="23">
        <v>4</v>
      </c>
      <c r="L60" s="23">
        <v>4</v>
      </c>
      <c r="M60" s="25" t="str">
        <f t="shared" si="16"/>
        <v>Хорошист</v>
      </c>
      <c r="N60" s="25" t="str">
        <f t="shared" si="17"/>
        <v>4</v>
      </c>
      <c r="O60" s="46" t="str">
        <f>IF(OR(N60&lt;N59,AND(N60&lt;=3,N60&lt;=3)),"Ынта төмендеді","Ынта тұрақты")</f>
        <v>Ынта тұрақты</v>
      </c>
    </row>
    <row r="61" spans="1:17" ht="22.5" thickBot="1" x14ac:dyDescent="0.4">
      <c r="A61" s="41"/>
      <c r="B61" s="41"/>
      <c r="C61" s="22" t="s">
        <v>118</v>
      </c>
      <c r="D61" s="23" t="s">
        <v>116</v>
      </c>
      <c r="E61" s="23">
        <v>4</v>
      </c>
      <c r="F61" s="23">
        <v>4</v>
      </c>
      <c r="G61" s="23">
        <v>4</v>
      </c>
      <c r="H61" s="23">
        <v>4</v>
      </c>
      <c r="I61" s="23">
        <v>4</v>
      </c>
      <c r="J61" s="23">
        <v>4</v>
      </c>
      <c r="K61" s="23">
        <v>5</v>
      </c>
      <c r="L61" s="23">
        <v>4</v>
      </c>
      <c r="M61" s="25" t="str">
        <f t="shared" si="16"/>
        <v>Хорошист</v>
      </c>
      <c r="N61" s="25" t="str">
        <f t="shared" si="17"/>
        <v>4</v>
      </c>
      <c r="O61" s="46" t="str">
        <f t="shared" ref="O61:O65" si="18">IF(OR(N61&lt;N60,AND(N61&lt;=3,N61&lt;=3)),"Ынта төмендеді","Ынта тұрақты")</f>
        <v>Ынта тұрақты</v>
      </c>
    </row>
    <row r="62" spans="1:17" ht="22.5" thickBot="1" x14ac:dyDescent="0.4">
      <c r="A62" s="41"/>
      <c r="B62" s="41"/>
      <c r="C62" s="22" t="s">
        <v>119</v>
      </c>
      <c r="D62" s="23">
        <v>4</v>
      </c>
      <c r="E62" s="23">
        <v>4</v>
      </c>
      <c r="F62" s="23">
        <v>4</v>
      </c>
      <c r="G62" s="23">
        <v>4</v>
      </c>
      <c r="H62" s="23">
        <v>4</v>
      </c>
      <c r="I62" s="23">
        <v>4</v>
      </c>
      <c r="J62" s="23">
        <v>4</v>
      </c>
      <c r="K62" s="23">
        <v>4</v>
      </c>
      <c r="L62" s="23">
        <v>4</v>
      </c>
      <c r="M62" s="25" t="str">
        <f t="shared" si="16"/>
        <v>Хорошист</v>
      </c>
      <c r="N62" s="25" t="str">
        <f t="shared" si="17"/>
        <v>4</v>
      </c>
      <c r="O62" s="46" t="str">
        <f t="shared" si="18"/>
        <v>Ынта тұрақты</v>
      </c>
    </row>
    <row r="63" spans="1:17" ht="22.5" thickBot="1" x14ac:dyDescent="0.4">
      <c r="A63" s="41"/>
      <c r="B63" s="41"/>
      <c r="C63" s="22" t="s">
        <v>120</v>
      </c>
      <c r="D63" s="23">
        <v>4</v>
      </c>
      <c r="E63" s="23">
        <v>4</v>
      </c>
      <c r="F63" s="23">
        <v>4</v>
      </c>
      <c r="G63" s="23">
        <v>4</v>
      </c>
      <c r="H63" s="23">
        <v>4</v>
      </c>
      <c r="I63" s="23">
        <v>4</v>
      </c>
      <c r="J63" s="23">
        <v>4</v>
      </c>
      <c r="K63" s="23">
        <v>4</v>
      </c>
      <c r="L63" s="23">
        <v>4</v>
      </c>
      <c r="M63" s="25" t="str">
        <f t="shared" si="16"/>
        <v>Хорошист</v>
      </c>
      <c r="N63" s="25" t="str">
        <f t="shared" si="17"/>
        <v>4</v>
      </c>
      <c r="O63" s="46" t="str">
        <f t="shared" si="18"/>
        <v>Ынта тұрақты</v>
      </c>
      <c r="Q63" s="48" t="str">
        <f>IF(N60&lt;N59, "2-тоқсанда ынта төмендеді", IF(N61&lt;N60, "3-тоқсанда ынта төмендеді", IF(N62&lt;N61, "4-тоқсанда ынта төмендеді", "Төмендеу жоқ")))</f>
        <v>Төмендеу жоқ</v>
      </c>
    </row>
    <row r="64" spans="1:17" ht="22.5" thickBot="1" x14ac:dyDescent="0.4">
      <c r="A64" s="41"/>
      <c r="B64" s="41"/>
      <c r="C64" s="22" t="s">
        <v>121</v>
      </c>
      <c r="D64" s="23" t="s">
        <v>116</v>
      </c>
      <c r="E64" s="23" t="s">
        <v>116</v>
      </c>
      <c r="F64" s="23" t="s">
        <v>116</v>
      </c>
      <c r="G64" s="23" t="s">
        <v>116</v>
      </c>
      <c r="H64" s="23">
        <v>4</v>
      </c>
      <c r="I64" s="23" t="s">
        <v>116</v>
      </c>
      <c r="J64" s="23" t="s">
        <v>116</v>
      </c>
      <c r="K64" s="23" t="s">
        <v>116</v>
      </c>
      <c r="L64" s="23" t="s">
        <v>116</v>
      </c>
      <c r="M64" s="25" t="str">
        <f t="shared" si="16"/>
        <v>Хорошист</v>
      </c>
      <c r="N64" s="25" t="str">
        <f t="shared" si="17"/>
        <v>4</v>
      </c>
      <c r="O64" s="46" t="str">
        <f t="shared" si="18"/>
        <v>Ынта тұрақты</v>
      </c>
    </row>
    <row r="65" spans="1:17" ht="22.5" thickBot="1" x14ac:dyDescent="0.4">
      <c r="A65" s="42"/>
      <c r="B65" s="42"/>
      <c r="C65" s="22" t="s">
        <v>122</v>
      </c>
      <c r="D65" s="23" t="s">
        <v>116</v>
      </c>
      <c r="E65" s="23" t="s">
        <v>116</v>
      </c>
      <c r="F65" s="23" t="s">
        <v>116</v>
      </c>
      <c r="G65" s="23" t="s">
        <v>116</v>
      </c>
      <c r="H65" s="23">
        <v>4</v>
      </c>
      <c r="I65" s="23" t="s">
        <v>116</v>
      </c>
      <c r="J65" s="23" t="s">
        <v>116</v>
      </c>
      <c r="K65" s="23" t="s">
        <v>116</v>
      </c>
      <c r="L65" s="23" t="s">
        <v>116</v>
      </c>
      <c r="M65" s="25" t="str">
        <f t="shared" si="16"/>
        <v>Хорошист</v>
      </c>
      <c r="N65" s="25" t="str">
        <f t="shared" si="17"/>
        <v>4</v>
      </c>
      <c r="O65" s="46" t="str">
        <f t="shared" si="18"/>
        <v>Ынта тұрақты</v>
      </c>
    </row>
    <row r="66" spans="1:17" ht="31.5" customHeight="1" thickBot="1" x14ac:dyDescent="0.4">
      <c r="A66" s="40">
        <v>8</v>
      </c>
      <c r="B66" s="40" t="s">
        <v>129</v>
      </c>
      <c r="C66" s="51" t="str">
        <f>IF(O60:O66="Ынта төмендеді","1. Жеке тапсырма беру; 2. Практикалық мысалдар келтіру; 3. Шағын мақсаттар қою; 4. Оқушының пікірін сұрау; 5. Ойын элементтерін қосу",
IF(AND(N63&gt;3, N65&gt;3), "1. Базалық білімді қалпына келтіру; 2. Қосымша сабақтар; 3. Жеңіл тапсырмалар арқылы сәттілік сезімін ояту; 4. Ата-анамен байланыс; 5. Пәнді өмірмен байланыстыру",
 "Ынта қалыпты, ынталандыруды жалғастыру"))</f>
        <v>1. Базалық білімді қалпына келтіру; 2. Қосымша сабақтар; 3. Жеңіл тапсырмалар арқылы сәттілік сезімін ояту; 4. Ата-анамен байланыс; 5. Пәнді өмірмен байланыстыру</v>
      </c>
      <c r="D66" s="52"/>
      <c r="E66" s="52"/>
      <c r="F66" s="52"/>
      <c r="G66" s="52"/>
      <c r="H66" s="52"/>
      <c r="I66" s="52"/>
      <c r="J66" s="52"/>
      <c r="K66" s="52"/>
      <c r="L66" s="52"/>
      <c r="N66" s="29">
        <f>AVERAGE(D63:L65)</f>
        <v>4</v>
      </c>
      <c r="O66" s="29"/>
      <c r="P66" s="30">
        <f>ROUNDDOWN(N66, 0)</f>
        <v>4</v>
      </c>
    </row>
    <row r="67" spans="1:17" ht="22.5" thickBot="1" x14ac:dyDescent="0.4">
      <c r="A67" s="41"/>
      <c r="B67" s="41"/>
      <c r="C67" s="22" t="s">
        <v>115</v>
      </c>
      <c r="D67" s="23" t="s">
        <v>116</v>
      </c>
      <c r="E67" s="23">
        <v>5</v>
      </c>
      <c r="F67" s="23">
        <v>5</v>
      </c>
      <c r="G67" s="23">
        <v>5</v>
      </c>
      <c r="H67" s="23">
        <v>5</v>
      </c>
      <c r="I67" s="23">
        <v>5</v>
      </c>
      <c r="J67" s="23">
        <v>4</v>
      </c>
      <c r="K67" s="23">
        <v>5</v>
      </c>
      <c r="L67" s="23">
        <v>5</v>
      </c>
      <c r="M67" s="25" t="str">
        <f t="shared" ref="M67:M73" si="19">IF(MIN(D67:L67)=5, "Отличник", IF(MIN(D67:L67)&gt;=4, "Хорошист", IF(MIN(D67:L67)=3, "Троечник", "Двоечник")))</f>
        <v>Хорошист</v>
      </c>
      <c r="N67" s="25" t="str">
        <f t="shared" ref="N67:N73" si="20">IF(MIN(D67:L67)=5, "5", IF(MIN(D67:L67)&gt;=4, "4", IF(MIN(D67:L67)=3, "3")))</f>
        <v>4</v>
      </c>
    </row>
    <row r="68" spans="1:17" ht="22.5" thickBot="1" x14ac:dyDescent="0.4">
      <c r="A68" s="41"/>
      <c r="B68" s="41"/>
      <c r="C68" s="22" t="s">
        <v>117</v>
      </c>
      <c r="D68" s="23">
        <v>5</v>
      </c>
      <c r="E68" s="23">
        <v>5</v>
      </c>
      <c r="F68" s="23">
        <v>4</v>
      </c>
      <c r="G68" s="23">
        <v>5</v>
      </c>
      <c r="H68" s="23">
        <v>5</v>
      </c>
      <c r="I68" s="23">
        <v>4</v>
      </c>
      <c r="J68" s="23">
        <v>5</v>
      </c>
      <c r="K68" s="23">
        <v>4</v>
      </c>
      <c r="L68" s="23">
        <v>5</v>
      </c>
      <c r="M68" s="25" t="str">
        <f t="shared" si="19"/>
        <v>Хорошист</v>
      </c>
      <c r="N68" s="25" t="str">
        <f t="shared" si="20"/>
        <v>4</v>
      </c>
      <c r="O68" s="46" t="str">
        <f>IF(OR(N68&lt;N67,AND(N68&lt;=3,N68&lt;=3)),"Ынта төмендеді","Ынта тұрақты")</f>
        <v>Ынта тұрақты</v>
      </c>
    </row>
    <row r="69" spans="1:17" ht="22.5" thickBot="1" x14ac:dyDescent="0.4">
      <c r="A69" s="41"/>
      <c r="B69" s="41"/>
      <c r="C69" s="22" t="s">
        <v>118</v>
      </c>
      <c r="D69" s="23" t="s">
        <v>116</v>
      </c>
      <c r="E69" s="23">
        <v>5</v>
      </c>
      <c r="F69" s="23">
        <v>4</v>
      </c>
      <c r="G69" s="23">
        <v>5</v>
      </c>
      <c r="H69" s="23">
        <v>5</v>
      </c>
      <c r="I69" s="23">
        <v>5</v>
      </c>
      <c r="J69" s="23">
        <v>5</v>
      </c>
      <c r="K69" s="23">
        <v>5</v>
      </c>
      <c r="L69" s="23">
        <v>4</v>
      </c>
      <c r="M69" s="25" t="str">
        <f t="shared" si="19"/>
        <v>Хорошист</v>
      </c>
      <c r="N69" s="25" t="str">
        <f t="shared" si="20"/>
        <v>4</v>
      </c>
      <c r="O69" s="46" t="str">
        <f t="shared" ref="O69:O73" si="21">IF(OR(N69&lt;N68,AND(N69&lt;=3,N69&lt;=3)),"Ынта төмендеді","Ынта тұрақты")</f>
        <v>Ынта тұрақты</v>
      </c>
    </row>
    <row r="70" spans="1:17" ht="22.5" thickBot="1" x14ac:dyDescent="0.4">
      <c r="A70" s="41"/>
      <c r="B70" s="41"/>
      <c r="C70" s="22" t="s">
        <v>119</v>
      </c>
      <c r="D70" s="23">
        <v>5</v>
      </c>
      <c r="E70" s="23">
        <v>5</v>
      </c>
      <c r="F70" s="23">
        <v>5</v>
      </c>
      <c r="G70" s="23">
        <v>5</v>
      </c>
      <c r="H70" s="23">
        <v>5</v>
      </c>
      <c r="I70" s="23">
        <v>5</v>
      </c>
      <c r="J70" s="23">
        <v>4</v>
      </c>
      <c r="K70" s="23">
        <v>5</v>
      </c>
      <c r="L70" s="23">
        <v>4</v>
      </c>
      <c r="M70" s="25" t="str">
        <f t="shared" si="19"/>
        <v>Хорошист</v>
      </c>
      <c r="N70" s="25" t="str">
        <f t="shared" si="20"/>
        <v>4</v>
      </c>
      <c r="O70" s="46" t="str">
        <f t="shared" si="21"/>
        <v>Ынта тұрақты</v>
      </c>
    </row>
    <row r="71" spans="1:17" ht="22.5" thickBot="1" x14ac:dyDescent="0.4">
      <c r="A71" s="41"/>
      <c r="B71" s="41"/>
      <c r="C71" s="22" t="s">
        <v>120</v>
      </c>
      <c r="D71" s="23">
        <v>5</v>
      </c>
      <c r="E71" s="23">
        <v>5</v>
      </c>
      <c r="F71" s="23">
        <v>5</v>
      </c>
      <c r="G71" s="23">
        <v>5</v>
      </c>
      <c r="H71" s="23">
        <v>5</v>
      </c>
      <c r="I71" s="23">
        <v>5</v>
      </c>
      <c r="J71" s="23">
        <v>5</v>
      </c>
      <c r="K71" s="23">
        <v>5</v>
      </c>
      <c r="L71" s="23">
        <v>5</v>
      </c>
      <c r="M71" s="25" t="str">
        <f t="shared" si="19"/>
        <v>Отличник</v>
      </c>
      <c r="N71" s="25" t="str">
        <f t="shared" si="20"/>
        <v>5</v>
      </c>
      <c r="O71" s="46" t="str">
        <f t="shared" si="21"/>
        <v>Ынта тұрақты</v>
      </c>
      <c r="Q71" s="48" t="str">
        <f>IF(N68&lt;N67, "2-тоқсанда ынта төмендеді", IF(N69&lt;N68, "3-тоқсанда ынта төмендеді", IF(N70&lt;N69, "4-тоқсанда ынта төмендеді", "Төмендеу жоқ")))</f>
        <v>Төмендеу жоқ</v>
      </c>
    </row>
    <row r="72" spans="1:17" ht="22.5" thickBot="1" x14ac:dyDescent="0.4">
      <c r="A72" s="41"/>
      <c r="B72" s="41"/>
      <c r="C72" s="22" t="s">
        <v>121</v>
      </c>
      <c r="D72" s="23" t="s">
        <v>116</v>
      </c>
      <c r="E72" s="23" t="s">
        <v>116</v>
      </c>
      <c r="F72" s="23" t="s">
        <v>116</v>
      </c>
      <c r="G72" s="23" t="s">
        <v>116</v>
      </c>
      <c r="H72" s="23">
        <v>5</v>
      </c>
      <c r="I72" s="23" t="s">
        <v>116</v>
      </c>
      <c r="J72" s="23" t="s">
        <v>116</v>
      </c>
      <c r="K72" s="23" t="s">
        <v>116</v>
      </c>
      <c r="L72" s="23" t="s">
        <v>116</v>
      </c>
      <c r="M72" s="25" t="str">
        <f t="shared" si="19"/>
        <v>Отличник</v>
      </c>
      <c r="N72" s="25" t="str">
        <f t="shared" si="20"/>
        <v>5</v>
      </c>
      <c r="O72" s="46" t="str">
        <f t="shared" si="21"/>
        <v>Ынта тұрақты</v>
      </c>
    </row>
    <row r="73" spans="1:17" ht="22.5" thickBot="1" x14ac:dyDescent="0.4">
      <c r="A73" s="42"/>
      <c r="B73" s="42"/>
      <c r="C73" s="22" t="s">
        <v>122</v>
      </c>
      <c r="D73" s="23" t="s">
        <v>116</v>
      </c>
      <c r="E73" s="23" t="s">
        <v>116</v>
      </c>
      <c r="F73" s="23" t="s">
        <v>116</v>
      </c>
      <c r="G73" s="23" t="s">
        <v>116</v>
      </c>
      <c r="H73" s="23">
        <v>5</v>
      </c>
      <c r="I73" s="23" t="s">
        <v>116</v>
      </c>
      <c r="J73" s="23" t="s">
        <v>116</v>
      </c>
      <c r="K73" s="23" t="s">
        <v>116</v>
      </c>
      <c r="L73" s="23" t="s">
        <v>116</v>
      </c>
      <c r="M73" s="25" t="str">
        <f t="shared" si="19"/>
        <v>Отличник</v>
      </c>
      <c r="N73" s="25" t="str">
        <f t="shared" si="20"/>
        <v>5</v>
      </c>
      <c r="O73" s="46" t="str">
        <f t="shared" si="21"/>
        <v>Ынта тұрақты</v>
      </c>
    </row>
    <row r="74" spans="1:17" ht="32.25" customHeight="1" thickBot="1" x14ac:dyDescent="0.4">
      <c r="A74" s="40">
        <v>9</v>
      </c>
      <c r="B74" s="40" t="s">
        <v>130</v>
      </c>
      <c r="C74" s="51" t="str">
        <f>IF(O68:O74="Ынта төмендеді","1. Жеке тапсырма беру; 2. Практикалық мысалдар келтіру; 3. Шағын мақсаттар қою; 4. Оқушының пікірін сұрау; 5. Ойын элементтерін қосу",
IF(AND(N71&gt;3, N73&gt;3), "1. Базалық білімді қалпына келтіру; 2. Қосымша сабақтар; 3. Жеңіл тапсырмалар арқылы сәттілік сезімін ояту; 4. Ата-анамен байланыс; 5. Пәнді өмірмен байланыстыру",
 "Ынта қалыпты, ынталандыруды жалғастыру"))</f>
        <v>1. Базалық білімді қалпына келтіру; 2. Қосымша сабақтар; 3. Жеңіл тапсырмалар арқылы сәттілік сезімін ояту; 4. Ата-анамен байланыс; 5. Пәнді өмірмен байланыстыру</v>
      </c>
      <c r="D74" s="52"/>
      <c r="E74" s="52"/>
      <c r="F74" s="52"/>
      <c r="G74" s="52"/>
      <c r="H74" s="52"/>
      <c r="I74" s="52"/>
      <c r="J74" s="52"/>
      <c r="K74" s="52"/>
      <c r="L74" s="52"/>
      <c r="N74" s="29">
        <f>AVERAGE(D71:L73)</f>
        <v>5</v>
      </c>
      <c r="O74" s="29"/>
      <c r="P74" s="30">
        <f>ROUNDDOWN(N74, 0)</f>
        <v>5</v>
      </c>
    </row>
    <row r="75" spans="1:17" ht="22.5" thickBot="1" x14ac:dyDescent="0.4">
      <c r="A75" s="41"/>
      <c r="B75" s="41"/>
      <c r="C75" s="22" t="s">
        <v>115</v>
      </c>
      <c r="D75" s="23" t="s">
        <v>116</v>
      </c>
      <c r="E75" s="23">
        <v>4</v>
      </c>
      <c r="F75" s="23">
        <v>4</v>
      </c>
      <c r="G75" s="23">
        <v>3</v>
      </c>
      <c r="H75" s="23">
        <v>4</v>
      </c>
      <c r="I75" s="23">
        <v>4</v>
      </c>
      <c r="J75" s="23">
        <v>4</v>
      </c>
      <c r="K75" s="23">
        <v>4</v>
      </c>
      <c r="L75" s="23">
        <v>4</v>
      </c>
      <c r="M75" s="25" t="str">
        <f t="shared" ref="M75:M81" si="22">IF(MIN(D75:L75)=5, "Отличник", IF(MIN(D75:L75)&gt;=4, "Хорошист", IF(MIN(D75:L75)=3, "Троечник", "Двоечник")))</f>
        <v>Троечник</v>
      </c>
      <c r="N75" s="25" t="str">
        <f t="shared" ref="N75:N81" si="23">IF(MIN(D75:L75)=5, "5", IF(MIN(D75:L75)&gt;=4, "4", IF(MIN(D75:L75)=3, "3")))</f>
        <v>3</v>
      </c>
    </row>
    <row r="76" spans="1:17" ht="22.5" thickBot="1" x14ac:dyDescent="0.4">
      <c r="A76" s="41"/>
      <c r="B76" s="41"/>
      <c r="C76" s="22" t="s">
        <v>117</v>
      </c>
      <c r="D76" s="23">
        <v>4</v>
      </c>
      <c r="E76" s="23">
        <v>5</v>
      </c>
      <c r="F76" s="23">
        <v>4</v>
      </c>
      <c r="G76" s="23">
        <v>4</v>
      </c>
      <c r="H76" s="23">
        <v>4</v>
      </c>
      <c r="I76" s="23">
        <v>4</v>
      </c>
      <c r="J76" s="23">
        <v>5</v>
      </c>
      <c r="K76" s="23">
        <v>4</v>
      </c>
      <c r="L76" s="23">
        <v>4</v>
      </c>
      <c r="M76" s="25" t="str">
        <f t="shared" si="22"/>
        <v>Хорошист</v>
      </c>
      <c r="N76" s="25" t="str">
        <f t="shared" si="23"/>
        <v>4</v>
      </c>
      <c r="O76" s="46" t="str">
        <f>IF(OR(N76&lt;N75,AND(N76&lt;=3,N76&lt;=3)),"Ынта төмендеді","Ынта тұрақты")</f>
        <v>Ынта тұрақты</v>
      </c>
    </row>
    <row r="77" spans="1:17" ht="22.5" thickBot="1" x14ac:dyDescent="0.4">
      <c r="A77" s="41"/>
      <c r="B77" s="41"/>
      <c r="C77" s="22" t="s">
        <v>118</v>
      </c>
      <c r="D77" s="23" t="s">
        <v>116</v>
      </c>
      <c r="E77" s="23">
        <v>5</v>
      </c>
      <c r="F77" s="23">
        <v>5</v>
      </c>
      <c r="G77" s="23">
        <v>4</v>
      </c>
      <c r="H77" s="23">
        <v>4</v>
      </c>
      <c r="I77" s="23">
        <v>4</v>
      </c>
      <c r="J77" s="23">
        <v>5</v>
      </c>
      <c r="K77" s="23">
        <v>4</v>
      </c>
      <c r="L77" s="23">
        <v>4</v>
      </c>
      <c r="M77" s="25" t="str">
        <f t="shared" si="22"/>
        <v>Хорошист</v>
      </c>
      <c r="N77" s="25" t="str">
        <f t="shared" si="23"/>
        <v>4</v>
      </c>
      <c r="O77" s="46" t="str">
        <f t="shared" ref="O77:O81" si="24">IF(OR(N77&lt;N76,AND(N77&lt;=3,N77&lt;=3)),"Ынта төмендеді","Ынта тұрақты")</f>
        <v>Ынта тұрақты</v>
      </c>
    </row>
    <row r="78" spans="1:17" ht="22.5" thickBot="1" x14ac:dyDescent="0.4">
      <c r="A78" s="41"/>
      <c r="B78" s="41"/>
      <c r="C78" s="22" t="s">
        <v>119</v>
      </c>
      <c r="D78" s="23">
        <v>4</v>
      </c>
      <c r="E78" s="23">
        <v>5</v>
      </c>
      <c r="F78" s="23">
        <v>5</v>
      </c>
      <c r="G78" s="23">
        <v>4</v>
      </c>
      <c r="H78" s="23">
        <v>4</v>
      </c>
      <c r="I78" s="23">
        <v>4</v>
      </c>
      <c r="J78" s="23">
        <v>4</v>
      </c>
      <c r="K78" s="23">
        <v>4</v>
      </c>
      <c r="L78" s="23">
        <v>4</v>
      </c>
      <c r="M78" s="25" t="str">
        <f t="shared" si="22"/>
        <v>Хорошист</v>
      </c>
      <c r="N78" s="25" t="str">
        <f t="shared" si="23"/>
        <v>4</v>
      </c>
      <c r="O78" s="46" t="str">
        <f t="shared" si="24"/>
        <v>Ынта тұрақты</v>
      </c>
    </row>
    <row r="79" spans="1:17" ht="22.5" thickBot="1" x14ac:dyDescent="0.4">
      <c r="A79" s="41"/>
      <c r="B79" s="41"/>
      <c r="C79" s="22" t="s">
        <v>120</v>
      </c>
      <c r="D79" s="23">
        <v>4</v>
      </c>
      <c r="E79" s="23">
        <v>5</v>
      </c>
      <c r="F79" s="23">
        <v>5</v>
      </c>
      <c r="G79" s="23">
        <v>4</v>
      </c>
      <c r="H79" s="23">
        <v>4</v>
      </c>
      <c r="I79" s="23">
        <v>4</v>
      </c>
      <c r="J79" s="23">
        <v>5</v>
      </c>
      <c r="K79" s="23">
        <v>4</v>
      </c>
      <c r="L79" s="23">
        <v>4</v>
      </c>
      <c r="M79" s="25" t="str">
        <f t="shared" si="22"/>
        <v>Хорошист</v>
      </c>
      <c r="N79" s="25" t="str">
        <f t="shared" si="23"/>
        <v>4</v>
      </c>
      <c r="O79" s="46" t="str">
        <f t="shared" si="24"/>
        <v>Ынта тұрақты</v>
      </c>
      <c r="Q79" s="48" t="str">
        <f>IF(N76&lt;N75, "2-тоқсанда ынта төмендеді", IF(N77&lt;N76, "3-тоқсанда ынта төмендеді", IF(N78&lt;N77, "4-тоқсанда ынта төмендеді", "Төмендеу жоқ")))</f>
        <v>Төмендеу жоқ</v>
      </c>
    </row>
    <row r="80" spans="1:17" ht="22.5" thickBot="1" x14ac:dyDescent="0.4">
      <c r="A80" s="41"/>
      <c r="B80" s="41"/>
      <c r="C80" s="22" t="s">
        <v>121</v>
      </c>
      <c r="D80" s="23" t="s">
        <v>116</v>
      </c>
      <c r="E80" s="23" t="s">
        <v>116</v>
      </c>
      <c r="F80" s="23" t="s">
        <v>116</v>
      </c>
      <c r="G80" s="23" t="s">
        <v>116</v>
      </c>
      <c r="H80" s="23">
        <v>4</v>
      </c>
      <c r="I80" s="23" t="s">
        <v>116</v>
      </c>
      <c r="J80" s="23" t="s">
        <v>116</v>
      </c>
      <c r="K80" s="23" t="s">
        <v>116</v>
      </c>
      <c r="L80" s="23" t="s">
        <v>116</v>
      </c>
      <c r="M80" s="25" t="str">
        <f t="shared" si="22"/>
        <v>Хорошист</v>
      </c>
      <c r="N80" s="25" t="str">
        <f t="shared" si="23"/>
        <v>4</v>
      </c>
      <c r="O80" s="46" t="str">
        <f t="shared" si="24"/>
        <v>Ынта тұрақты</v>
      </c>
    </row>
    <row r="81" spans="1:17" ht="22.5" thickBot="1" x14ac:dyDescent="0.4">
      <c r="A81" s="42"/>
      <c r="B81" s="42"/>
      <c r="C81" s="22" t="s">
        <v>122</v>
      </c>
      <c r="D81" s="23" t="s">
        <v>116</v>
      </c>
      <c r="E81" s="23" t="s">
        <v>116</v>
      </c>
      <c r="F81" s="23" t="s">
        <v>116</v>
      </c>
      <c r="G81" s="23" t="s">
        <v>116</v>
      </c>
      <c r="H81" s="23">
        <v>4</v>
      </c>
      <c r="I81" s="23" t="s">
        <v>116</v>
      </c>
      <c r="J81" s="23" t="s">
        <v>116</v>
      </c>
      <c r="K81" s="23" t="s">
        <v>116</v>
      </c>
      <c r="L81" s="23" t="s">
        <v>116</v>
      </c>
      <c r="M81" s="25" t="str">
        <f t="shared" si="22"/>
        <v>Хорошист</v>
      </c>
      <c r="N81" s="25" t="str">
        <f t="shared" si="23"/>
        <v>4</v>
      </c>
      <c r="O81" s="46" t="str">
        <f t="shared" si="24"/>
        <v>Ынта тұрақты</v>
      </c>
    </row>
    <row r="82" spans="1:17" ht="30.75" customHeight="1" thickBot="1" x14ac:dyDescent="0.4">
      <c r="A82" s="40">
        <v>10</v>
      </c>
      <c r="B82" s="40" t="s">
        <v>131</v>
      </c>
      <c r="C82" s="51" t="str">
        <f>IF(O76:O82="Ынта төмендеді","1. Жеке тапсырма беру; 2. Практикалық мысалдар келтіру; 3. Шағын мақсаттар қою; 4. Оқушының пікірін сұрау; 5. Ойын элементтерін қосу",
IF(AND(N79&gt;3, N81&gt;3), "1. Базалық білімді қалпына келтіру; 2. Қосымша сабақтар; 3. Жеңіл тапсырмалар арқылы сәттілік сезімін ояту; 4. Ата-анамен байланыс; 5. Пәнді өмірмен байланыстыру",
 "Ынта қалыпты, ынталандыруды жалғастыру"))</f>
        <v>1. Базалық білімді қалпына келтіру; 2. Қосымша сабақтар; 3. Жеңіл тапсырмалар арқылы сәттілік сезімін ояту; 4. Ата-анамен байланыс; 5. Пәнді өмірмен байланыстыру</v>
      </c>
      <c r="D82" s="52"/>
      <c r="E82" s="52"/>
      <c r="F82" s="52"/>
      <c r="G82" s="52"/>
      <c r="H82" s="52"/>
      <c r="I82" s="52"/>
      <c r="J82" s="52"/>
      <c r="K82" s="52"/>
      <c r="L82" s="52"/>
      <c r="N82" s="29">
        <f>AVERAGE(D79:L81)</f>
        <v>4.2727272727272725</v>
      </c>
      <c r="O82" s="29"/>
      <c r="P82" s="30">
        <f>ROUNDDOWN(N82, 0)</f>
        <v>4</v>
      </c>
    </row>
    <row r="83" spans="1:17" ht="22.5" thickBot="1" x14ac:dyDescent="0.4">
      <c r="A83" s="41"/>
      <c r="B83" s="41"/>
      <c r="C83" s="22" t="s">
        <v>115</v>
      </c>
      <c r="D83" s="23" t="s">
        <v>116</v>
      </c>
      <c r="E83" s="23">
        <v>5</v>
      </c>
      <c r="F83" s="23">
        <v>5</v>
      </c>
      <c r="G83" s="23">
        <v>4</v>
      </c>
      <c r="H83" s="23">
        <v>4</v>
      </c>
      <c r="I83" s="23">
        <v>4</v>
      </c>
      <c r="J83" s="23">
        <v>4</v>
      </c>
      <c r="K83" s="23">
        <v>4</v>
      </c>
      <c r="L83" s="23">
        <v>5</v>
      </c>
      <c r="M83" s="25" t="str">
        <f t="shared" ref="M83:M89" si="25">IF(MIN(D83:L83)=5, "Отличник", IF(MIN(D83:L83)&gt;=4, "Хорошист", IF(MIN(D83:L83)=3, "Троечник", "Двоечник")))</f>
        <v>Хорошист</v>
      </c>
      <c r="N83" s="25" t="str">
        <f t="shared" ref="N83:N89" si="26">IF(MIN(D83:L83)=5, "5", IF(MIN(D83:L83)&gt;=4, "4", IF(MIN(D83:L83)=3, "3")))</f>
        <v>4</v>
      </c>
    </row>
    <row r="84" spans="1:17" ht="22.5" thickBot="1" x14ac:dyDescent="0.4">
      <c r="A84" s="41"/>
      <c r="B84" s="41"/>
      <c r="C84" s="22" t="s">
        <v>117</v>
      </c>
      <c r="D84" s="23">
        <v>4</v>
      </c>
      <c r="E84" s="23">
        <v>4</v>
      </c>
      <c r="F84" s="23">
        <v>5</v>
      </c>
      <c r="G84" s="23">
        <v>4</v>
      </c>
      <c r="H84" s="23">
        <v>4</v>
      </c>
      <c r="I84" s="23">
        <v>4</v>
      </c>
      <c r="J84" s="23">
        <v>5</v>
      </c>
      <c r="K84" s="23">
        <v>4</v>
      </c>
      <c r="L84" s="23">
        <v>5</v>
      </c>
      <c r="M84" s="25" t="str">
        <f t="shared" si="25"/>
        <v>Хорошист</v>
      </c>
      <c r="N84" s="25" t="str">
        <f t="shared" si="26"/>
        <v>4</v>
      </c>
      <c r="O84" s="46" t="str">
        <f>IF(OR(N84&lt;N83,AND(N84&lt;=3,N84&lt;=3)),"Ынта төмендеді","Ынта тұрақты")</f>
        <v>Ынта тұрақты</v>
      </c>
    </row>
    <row r="85" spans="1:17" ht="22.5" thickBot="1" x14ac:dyDescent="0.4">
      <c r="A85" s="41"/>
      <c r="B85" s="41"/>
      <c r="C85" s="22" t="s">
        <v>118</v>
      </c>
      <c r="D85" s="23" t="s">
        <v>116</v>
      </c>
      <c r="E85" s="23">
        <v>5</v>
      </c>
      <c r="F85" s="23">
        <v>4</v>
      </c>
      <c r="G85" s="23">
        <v>4</v>
      </c>
      <c r="H85" s="23">
        <v>4</v>
      </c>
      <c r="I85" s="23">
        <v>5</v>
      </c>
      <c r="J85" s="23">
        <v>4</v>
      </c>
      <c r="K85" s="23">
        <v>5</v>
      </c>
      <c r="L85" s="23">
        <v>4</v>
      </c>
      <c r="M85" s="25" t="str">
        <f t="shared" si="25"/>
        <v>Хорошист</v>
      </c>
      <c r="N85" s="25" t="str">
        <f t="shared" si="26"/>
        <v>4</v>
      </c>
      <c r="O85" s="46" t="str">
        <f t="shared" ref="O85:O89" si="27">IF(OR(N85&lt;N84,AND(N85&lt;=3,N85&lt;=3)),"Ынта төмендеді","Ынта тұрақты")</f>
        <v>Ынта тұрақты</v>
      </c>
    </row>
    <row r="86" spans="1:17" ht="22.5" thickBot="1" x14ac:dyDescent="0.4">
      <c r="A86" s="41"/>
      <c r="B86" s="41"/>
      <c r="C86" s="22" t="s">
        <v>119</v>
      </c>
      <c r="D86" s="23">
        <v>4</v>
      </c>
      <c r="E86" s="23">
        <v>4</v>
      </c>
      <c r="F86" s="23">
        <v>4</v>
      </c>
      <c r="G86" s="23">
        <v>4</v>
      </c>
      <c r="H86" s="23">
        <v>4</v>
      </c>
      <c r="I86" s="23">
        <v>4</v>
      </c>
      <c r="J86" s="23">
        <v>4</v>
      </c>
      <c r="K86" s="23">
        <v>4</v>
      </c>
      <c r="L86" s="23">
        <v>5</v>
      </c>
      <c r="M86" s="25" t="str">
        <f t="shared" si="25"/>
        <v>Хорошист</v>
      </c>
      <c r="N86" s="25" t="str">
        <f t="shared" si="26"/>
        <v>4</v>
      </c>
      <c r="O86" s="46" t="str">
        <f t="shared" si="27"/>
        <v>Ынта тұрақты</v>
      </c>
    </row>
    <row r="87" spans="1:17" ht="22.5" thickBot="1" x14ac:dyDescent="0.4">
      <c r="A87" s="41"/>
      <c r="B87" s="41"/>
      <c r="C87" s="22" t="s">
        <v>120</v>
      </c>
      <c r="D87" s="23">
        <v>4</v>
      </c>
      <c r="E87" s="23">
        <v>5</v>
      </c>
      <c r="F87" s="23">
        <v>5</v>
      </c>
      <c r="G87" s="23">
        <v>4</v>
      </c>
      <c r="H87" s="23">
        <v>4</v>
      </c>
      <c r="I87" s="23">
        <v>4</v>
      </c>
      <c r="J87" s="23">
        <v>4</v>
      </c>
      <c r="K87" s="23">
        <v>4</v>
      </c>
      <c r="L87" s="23">
        <v>5</v>
      </c>
      <c r="M87" s="25" t="str">
        <f t="shared" si="25"/>
        <v>Хорошист</v>
      </c>
      <c r="N87" s="25" t="str">
        <f t="shared" si="26"/>
        <v>4</v>
      </c>
      <c r="O87" s="46" t="str">
        <f t="shared" si="27"/>
        <v>Ынта тұрақты</v>
      </c>
      <c r="Q87" s="48" t="str">
        <f>IF(N84&lt;N83, "2-тоқсанда ынта төмендеді", IF(N85&lt;N84, "3-тоқсанда ынта төмендеді", IF(N86&lt;N85, "4-тоқсанда ынта төмендеді", "Төмендеу жоқ")))</f>
        <v>Төмендеу жоқ</v>
      </c>
    </row>
    <row r="88" spans="1:17" ht="22.5" thickBot="1" x14ac:dyDescent="0.4">
      <c r="A88" s="41"/>
      <c r="B88" s="41"/>
      <c r="C88" s="22" t="s">
        <v>121</v>
      </c>
      <c r="D88" s="23" t="s">
        <v>116</v>
      </c>
      <c r="E88" s="23" t="s">
        <v>116</v>
      </c>
      <c r="F88" s="23" t="s">
        <v>116</v>
      </c>
      <c r="G88" s="23" t="s">
        <v>116</v>
      </c>
      <c r="H88" s="23">
        <v>4</v>
      </c>
      <c r="I88" s="23" t="s">
        <v>116</v>
      </c>
      <c r="J88" s="23" t="s">
        <v>116</v>
      </c>
      <c r="K88" s="23" t="s">
        <v>116</v>
      </c>
      <c r="L88" s="23" t="s">
        <v>116</v>
      </c>
      <c r="M88" s="25" t="str">
        <f t="shared" si="25"/>
        <v>Хорошист</v>
      </c>
      <c r="N88" s="25" t="str">
        <f t="shared" si="26"/>
        <v>4</v>
      </c>
      <c r="O88" s="46" t="str">
        <f t="shared" si="27"/>
        <v>Ынта тұрақты</v>
      </c>
    </row>
    <row r="89" spans="1:17" ht="22.5" thickBot="1" x14ac:dyDescent="0.4">
      <c r="A89" s="42"/>
      <c r="B89" s="42"/>
      <c r="C89" s="22" t="s">
        <v>122</v>
      </c>
      <c r="D89" s="23" t="s">
        <v>116</v>
      </c>
      <c r="E89" s="23" t="s">
        <v>116</v>
      </c>
      <c r="F89" s="23" t="s">
        <v>116</v>
      </c>
      <c r="G89" s="23" t="s">
        <v>116</v>
      </c>
      <c r="H89" s="23">
        <v>4</v>
      </c>
      <c r="I89" s="23" t="s">
        <v>116</v>
      </c>
      <c r="J89" s="23" t="s">
        <v>116</v>
      </c>
      <c r="K89" s="23" t="s">
        <v>116</v>
      </c>
      <c r="L89" s="23" t="s">
        <v>116</v>
      </c>
      <c r="M89" s="25" t="str">
        <f t="shared" si="25"/>
        <v>Хорошист</v>
      </c>
      <c r="N89" s="25" t="str">
        <f t="shared" si="26"/>
        <v>4</v>
      </c>
      <c r="O89" s="46" t="str">
        <f t="shared" si="27"/>
        <v>Ынта тұрақты</v>
      </c>
    </row>
    <row r="90" spans="1:17" ht="36.75" customHeight="1" thickBot="1" x14ac:dyDescent="0.4">
      <c r="A90" s="40">
        <v>11</v>
      </c>
      <c r="B90" s="40" t="s">
        <v>132</v>
      </c>
      <c r="C90" s="51" t="str">
        <f>IF(O84:O90="Ынта төмендеді","1. Жеке тапсырма беру; 2. Практикалық мысалдар келтіру; 3. Шағын мақсаттар қою; 4. Оқушының пікірін сұрау; 5. Ойын элементтерін қосу",
IF(AND(N87&gt;3, N89&gt;3), "1. Базалық білімді қалпына келтіру; 2. Қосымша сабақтар; 3. Жеңіл тапсырмалар арқылы сәттілік сезімін ояту; 4. Ата-анамен байланыс; 5. Пәнді өмірмен байланыстыру",
 "Ынта қалыпты, ынталандыруды жалғастыру"))</f>
        <v>1. Базалық білімді қалпына келтіру; 2. Қосымша сабақтар; 3. Жеңіл тапсырмалар арқылы сәттілік сезімін ояту; 4. Ата-анамен байланыс; 5. Пәнді өмірмен байланыстыру</v>
      </c>
      <c r="D90" s="52"/>
      <c r="E90" s="52"/>
      <c r="F90" s="52"/>
      <c r="G90" s="52"/>
      <c r="H90" s="52"/>
      <c r="I90" s="52"/>
      <c r="J90" s="52"/>
      <c r="K90" s="52"/>
      <c r="L90" s="52"/>
      <c r="N90" s="29">
        <f>AVERAGE(D87:L89)</f>
        <v>4.2727272727272725</v>
      </c>
      <c r="O90" s="29"/>
      <c r="P90" s="30">
        <f>ROUNDDOWN(N90, 0)</f>
        <v>4</v>
      </c>
    </row>
    <row r="91" spans="1:17" ht="22.5" thickBot="1" x14ac:dyDescent="0.4">
      <c r="A91" s="41"/>
      <c r="B91" s="41"/>
      <c r="C91" s="22" t="s">
        <v>115</v>
      </c>
      <c r="D91" s="23" t="s">
        <v>116</v>
      </c>
      <c r="E91" s="23">
        <v>4</v>
      </c>
      <c r="F91" s="23">
        <v>4</v>
      </c>
      <c r="G91" s="23">
        <v>3</v>
      </c>
      <c r="H91" s="23">
        <v>4</v>
      </c>
      <c r="I91" s="23">
        <v>4</v>
      </c>
      <c r="J91" s="23">
        <v>4</v>
      </c>
      <c r="K91" s="23">
        <v>4</v>
      </c>
      <c r="L91" s="23">
        <v>5</v>
      </c>
      <c r="M91" s="25" t="str">
        <f t="shared" ref="M91:M97" si="28">IF(MIN(D91:L91)=5, "Отличник", IF(MIN(D91:L91)&gt;=4, "Хорошист", IF(MIN(D91:L91)=3, "Троечник", "Двоечник")))</f>
        <v>Троечник</v>
      </c>
      <c r="N91" s="25" t="str">
        <f t="shared" ref="N91:N97" si="29">IF(MIN(D91:L91)=5, "5", IF(MIN(D91:L91)&gt;=4, "4", IF(MIN(D91:L91)=3, "3")))</f>
        <v>3</v>
      </c>
    </row>
    <row r="92" spans="1:17" ht="22.5" thickBot="1" x14ac:dyDescent="0.4">
      <c r="A92" s="41"/>
      <c r="B92" s="41"/>
      <c r="C92" s="22" t="s">
        <v>117</v>
      </c>
      <c r="D92" s="23">
        <v>4</v>
      </c>
      <c r="E92" s="23">
        <v>4</v>
      </c>
      <c r="F92" s="23">
        <v>4</v>
      </c>
      <c r="G92" s="23">
        <v>4</v>
      </c>
      <c r="H92" s="23">
        <v>4</v>
      </c>
      <c r="I92" s="23">
        <v>4</v>
      </c>
      <c r="J92" s="23">
        <v>4</v>
      </c>
      <c r="K92" s="23">
        <v>4</v>
      </c>
      <c r="L92" s="23">
        <v>4</v>
      </c>
      <c r="M92" s="25" t="str">
        <f t="shared" si="28"/>
        <v>Хорошист</v>
      </c>
      <c r="N92" s="25" t="str">
        <f t="shared" si="29"/>
        <v>4</v>
      </c>
      <c r="O92" s="46" t="str">
        <f>IF(OR(N92&lt;N91,AND(N92&lt;=3,N92&lt;=3)),"Ынта төмендеді","Ынта тұрақты")</f>
        <v>Ынта тұрақты</v>
      </c>
    </row>
    <row r="93" spans="1:17" ht="22.5" thickBot="1" x14ac:dyDescent="0.4">
      <c r="A93" s="41"/>
      <c r="B93" s="41"/>
      <c r="C93" s="22" t="s">
        <v>118</v>
      </c>
      <c r="D93" s="23" t="s">
        <v>116</v>
      </c>
      <c r="E93" s="23">
        <v>4</v>
      </c>
      <c r="F93" s="23">
        <v>4</v>
      </c>
      <c r="G93" s="23">
        <v>4</v>
      </c>
      <c r="H93" s="23">
        <v>4</v>
      </c>
      <c r="I93" s="23">
        <v>4</v>
      </c>
      <c r="J93" s="23">
        <v>4</v>
      </c>
      <c r="K93" s="23">
        <v>4</v>
      </c>
      <c r="L93" s="23">
        <v>4</v>
      </c>
      <c r="M93" s="25" t="str">
        <f t="shared" si="28"/>
        <v>Хорошист</v>
      </c>
      <c r="N93" s="25" t="str">
        <f t="shared" si="29"/>
        <v>4</v>
      </c>
      <c r="O93" s="46" t="str">
        <f t="shared" ref="O93:O97" si="30">IF(OR(N93&lt;N92,AND(N93&lt;=3,N93&lt;=3)),"Ынта төмендеді","Ынта тұрақты")</f>
        <v>Ынта тұрақты</v>
      </c>
    </row>
    <row r="94" spans="1:17" ht="22.5" thickBot="1" x14ac:dyDescent="0.4">
      <c r="A94" s="41"/>
      <c r="B94" s="41"/>
      <c r="C94" s="22" t="s">
        <v>119</v>
      </c>
      <c r="D94" s="23">
        <v>4</v>
      </c>
      <c r="E94" s="23">
        <v>4</v>
      </c>
      <c r="F94" s="23">
        <v>4</v>
      </c>
      <c r="G94" s="23">
        <v>4</v>
      </c>
      <c r="H94" s="23">
        <v>4</v>
      </c>
      <c r="I94" s="23">
        <v>3</v>
      </c>
      <c r="J94" s="23">
        <v>3</v>
      </c>
      <c r="K94" s="23">
        <v>4</v>
      </c>
      <c r="L94" s="23">
        <v>4</v>
      </c>
      <c r="M94" s="25" t="str">
        <f t="shared" si="28"/>
        <v>Троечник</v>
      </c>
      <c r="N94" s="25" t="str">
        <f t="shared" si="29"/>
        <v>3</v>
      </c>
      <c r="O94" s="46" t="str">
        <f t="shared" si="30"/>
        <v>Ынта төмендеді</v>
      </c>
    </row>
    <row r="95" spans="1:17" ht="22.5" thickBot="1" x14ac:dyDescent="0.4">
      <c r="A95" s="41"/>
      <c r="B95" s="41"/>
      <c r="C95" s="22" t="s">
        <v>120</v>
      </c>
      <c r="D95" s="23">
        <v>4</v>
      </c>
      <c r="E95" s="23">
        <v>4</v>
      </c>
      <c r="F95" s="23">
        <v>4</v>
      </c>
      <c r="G95" s="23">
        <v>4</v>
      </c>
      <c r="H95" s="23">
        <v>4</v>
      </c>
      <c r="I95" s="23">
        <v>4</v>
      </c>
      <c r="J95" s="23">
        <v>4</v>
      </c>
      <c r="K95" s="23">
        <v>4</v>
      </c>
      <c r="L95" s="23">
        <v>4</v>
      </c>
      <c r="M95" s="25" t="str">
        <f t="shared" si="28"/>
        <v>Хорошист</v>
      </c>
      <c r="N95" s="25" t="str">
        <f t="shared" si="29"/>
        <v>4</v>
      </c>
      <c r="O95" s="46" t="str">
        <f t="shared" si="30"/>
        <v>Ынта тұрақты</v>
      </c>
      <c r="Q95" s="48" t="str">
        <f>IF(N92&lt;N91, "2-тоқсанда ынта төмендеді", IF(N93&lt;N92, "3-тоқсанда ынта төмендеді", IF(N94&lt;N93, "4-тоқсанда ынта төмендеді", "Төмендеу жоқ")))</f>
        <v>4-тоқсанда ынта төмендеді</v>
      </c>
    </row>
    <row r="96" spans="1:17" ht="22.5" thickBot="1" x14ac:dyDescent="0.4">
      <c r="A96" s="41"/>
      <c r="B96" s="41"/>
      <c r="C96" s="22" t="s">
        <v>121</v>
      </c>
      <c r="D96" s="23" t="s">
        <v>116</v>
      </c>
      <c r="E96" s="23" t="s">
        <v>116</v>
      </c>
      <c r="F96" s="23" t="s">
        <v>116</v>
      </c>
      <c r="G96" s="23" t="s">
        <v>116</v>
      </c>
      <c r="H96" s="23">
        <v>4</v>
      </c>
      <c r="I96" s="23" t="s">
        <v>116</v>
      </c>
      <c r="J96" s="23" t="s">
        <v>116</v>
      </c>
      <c r="K96" s="23" t="s">
        <v>116</v>
      </c>
      <c r="L96" s="23" t="s">
        <v>116</v>
      </c>
      <c r="M96" s="25" t="str">
        <f t="shared" si="28"/>
        <v>Хорошист</v>
      </c>
      <c r="N96" s="25" t="str">
        <f t="shared" si="29"/>
        <v>4</v>
      </c>
      <c r="O96" s="46" t="str">
        <f t="shared" si="30"/>
        <v>Ынта тұрақты</v>
      </c>
    </row>
    <row r="97" spans="1:17" ht="22.5" thickBot="1" x14ac:dyDescent="0.4">
      <c r="A97" s="42"/>
      <c r="B97" s="42"/>
      <c r="C97" s="22" t="s">
        <v>122</v>
      </c>
      <c r="D97" s="23" t="s">
        <v>116</v>
      </c>
      <c r="E97" s="23" t="s">
        <v>116</v>
      </c>
      <c r="F97" s="23" t="s">
        <v>116</v>
      </c>
      <c r="G97" s="23" t="s">
        <v>116</v>
      </c>
      <c r="H97" s="23">
        <v>4</v>
      </c>
      <c r="I97" s="23" t="s">
        <v>116</v>
      </c>
      <c r="J97" s="23" t="s">
        <v>116</v>
      </c>
      <c r="K97" s="23" t="s">
        <v>116</v>
      </c>
      <c r="L97" s="23" t="s">
        <v>116</v>
      </c>
      <c r="M97" s="25" t="str">
        <f t="shared" si="28"/>
        <v>Хорошист</v>
      </c>
      <c r="N97" s="25" t="str">
        <f t="shared" si="29"/>
        <v>4</v>
      </c>
      <c r="O97" s="46" t="str">
        <f t="shared" si="30"/>
        <v>Ынта тұрақты</v>
      </c>
    </row>
    <row r="98" spans="1:17" ht="36" customHeight="1" thickBot="1" x14ac:dyDescent="0.4">
      <c r="A98" s="40">
        <v>12</v>
      </c>
      <c r="B98" s="40" t="s">
        <v>133</v>
      </c>
      <c r="C98" s="51" t="str">
        <f>IF(O92:O98="Ынта төмендеді","1. Жеке тапсырма беру; 2. Практикалық мысалдар келтіру; 3. Шағын мақсаттар қою; 4. Оқушының пікірін сұрау; 5. Ойын элементтерін қосу",
IF(AND(N95&gt;3, N97&gt;3), "1. Базалық білімді қалпына келтіру; 2. Қосымша сабақтар; 3. Жеңіл тапсырмалар арқылы сәттілік сезімін ояту; 4. Ата-анамен байланыс; 5. Пәнді өмірмен байланыстыру",
 "Ынта қалыпты, ынталандыруды жалғастыру"))</f>
        <v>1. Базалық білімді қалпына келтіру; 2. Қосымша сабақтар; 3. Жеңіл тапсырмалар арқылы сәттілік сезімін ояту; 4. Ата-анамен байланыс; 5. Пәнді өмірмен байланыстыру</v>
      </c>
      <c r="D98" s="52"/>
      <c r="E98" s="52"/>
      <c r="F98" s="52"/>
      <c r="G98" s="52"/>
      <c r="H98" s="52"/>
      <c r="I98" s="52"/>
      <c r="J98" s="52"/>
      <c r="K98" s="52"/>
      <c r="L98" s="52"/>
      <c r="N98" s="29">
        <f>AVERAGE(D95:L97)</f>
        <v>4</v>
      </c>
      <c r="O98" s="29"/>
      <c r="P98" s="30">
        <f>ROUNDDOWN(N98, 0)</f>
        <v>4</v>
      </c>
    </row>
    <row r="99" spans="1:17" ht="22.5" thickBot="1" x14ac:dyDescent="0.4">
      <c r="A99" s="41"/>
      <c r="B99" s="41"/>
      <c r="C99" s="22" t="s">
        <v>115</v>
      </c>
      <c r="D99" s="23" t="s">
        <v>116</v>
      </c>
      <c r="E99" s="23">
        <v>4</v>
      </c>
      <c r="F99" s="23">
        <v>5</v>
      </c>
      <c r="G99" s="23">
        <v>4</v>
      </c>
      <c r="H99" s="23">
        <v>4</v>
      </c>
      <c r="I99" s="23">
        <v>4</v>
      </c>
      <c r="J99" s="23">
        <v>4</v>
      </c>
      <c r="K99" s="23">
        <v>4</v>
      </c>
      <c r="L99" s="23">
        <v>5</v>
      </c>
      <c r="M99" s="25" t="str">
        <f t="shared" ref="M99:M105" si="31">IF(MIN(D99:L99)=5, "Отличник", IF(MIN(D99:L99)&gt;=4, "Хорошист", IF(MIN(D99:L99)=3, "Троечник", "Двоечник")))</f>
        <v>Хорошист</v>
      </c>
      <c r="N99" s="25" t="str">
        <f t="shared" ref="N99:N105" si="32">IF(MIN(D99:L99)=5, "5", IF(MIN(D99:L99)&gt;=4, "4", IF(MIN(D99:L99)=3, "3")))</f>
        <v>4</v>
      </c>
    </row>
    <row r="100" spans="1:17" ht="22.5" thickBot="1" x14ac:dyDescent="0.4">
      <c r="A100" s="41"/>
      <c r="B100" s="41"/>
      <c r="C100" s="22" t="s">
        <v>117</v>
      </c>
      <c r="D100" s="23">
        <v>4</v>
      </c>
      <c r="E100" s="23">
        <v>5</v>
      </c>
      <c r="F100" s="23">
        <v>5</v>
      </c>
      <c r="G100" s="23">
        <v>4</v>
      </c>
      <c r="H100" s="23">
        <v>4</v>
      </c>
      <c r="I100" s="23">
        <v>4</v>
      </c>
      <c r="J100" s="23">
        <v>5</v>
      </c>
      <c r="K100" s="23">
        <v>4</v>
      </c>
      <c r="L100" s="23">
        <v>5</v>
      </c>
      <c r="M100" s="25" t="str">
        <f t="shared" si="31"/>
        <v>Хорошист</v>
      </c>
      <c r="N100" s="25" t="str">
        <f t="shared" si="32"/>
        <v>4</v>
      </c>
      <c r="O100" s="46" t="str">
        <f>IF(OR(N100&lt;N99,AND(N100&lt;=3,N100&lt;=3)),"Ынта төмендеді","Ынта тұрақты")</f>
        <v>Ынта тұрақты</v>
      </c>
    </row>
    <row r="101" spans="1:17" ht="22.5" thickBot="1" x14ac:dyDescent="0.4">
      <c r="A101" s="41"/>
      <c r="B101" s="41"/>
      <c r="C101" s="22" t="s">
        <v>118</v>
      </c>
      <c r="D101" s="23" t="s">
        <v>116</v>
      </c>
      <c r="E101" s="23">
        <v>5</v>
      </c>
      <c r="F101" s="23">
        <v>4</v>
      </c>
      <c r="G101" s="23">
        <v>4</v>
      </c>
      <c r="H101" s="23">
        <v>4</v>
      </c>
      <c r="I101" s="23">
        <v>4</v>
      </c>
      <c r="J101" s="23">
        <v>4</v>
      </c>
      <c r="K101" s="23">
        <v>4</v>
      </c>
      <c r="L101" s="23">
        <v>4</v>
      </c>
      <c r="M101" s="25" t="str">
        <f t="shared" si="31"/>
        <v>Хорошист</v>
      </c>
      <c r="N101" s="25" t="str">
        <f t="shared" si="32"/>
        <v>4</v>
      </c>
      <c r="O101" s="46" t="str">
        <f t="shared" ref="O101:O105" si="33">IF(OR(N101&lt;N100,AND(N101&lt;=3,N101&lt;=3)),"Ынта төмендеді","Ынта тұрақты")</f>
        <v>Ынта тұрақты</v>
      </c>
    </row>
    <row r="102" spans="1:17" ht="22.5" thickBot="1" x14ac:dyDescent="0.4">
      <c r="A102" s="41"/>
      <c r="B102" s="41"/>
      <c r="C102" s="22" t="s">
        <v>119</v>
      </c>
      <c r="D102" s="23">
        <v>4</v>
      </c>
      <c r="E102" s="23">
        <v>5</v>
      </c>
      <c r="F102" s="23">
        <v>5</v>
      </c>
      <c r="G102" s="23">
        <v>4</v>
      </c>
      <c r="H102" s="23">
        <v>4</v>
      </c>
      <c r="I102" s="23">
        <v>4</v>
      </c>
      <c r="J102" s="23">
        <v>4</v>
      </c>
      <c r="K102" s="23">
        <v>4</v>
      </c>
      <c r="L102" s="23">
        <v>5</v>
      </c>
      <c r="M102" s="25" t="str">
        <f t="shared" si="31"/>
        <v>Хорошист</v>
      </c>
      <c r="N102" s="25" t="str">
        <f t="shared" si="32"/>
        <v>4</v>
      </c>
      <c r="O102" s="46" t="str">
        <f t="shared" si="33"/>
        <v>Ынта тұрақты</v>
      </c>
    </row>
    <row r="103" spans="1:17" ht="22.5" thickBot="1" x14ac:dyDescent="0.4">
      <c r="A103" s="41"/>
      <c r="B103" s="41"/>
      <c r="C103" s="22" t="s">
        <v>120</v>
      </c>
      <c r="D103" s="23">
        <v>4</v>
      </c>
      <c r="E103" s="23">
        <v>5</v>
      </c>
      <c r="F103" s="23">
        <v>5</v>
      </c>
      <c r="G103" s="23">
        <v>4</v>
      </c>
      <c r="H103" s="23">
        <v>4</v>
      </c>
      <c r="I103" s="23">
        <v>4</v>
      </c>
      <c r="J103" s="23">
        <v>4</v>
      </c>
      <c r="K103" s="23">
        <v>4</v>
      </c>
      <c r="L103" s="23">
        <v>5</v>
      </c>
      <c r="M103" s="25" t="str">
        <f t="shared" si="31"/>
        <v>Хорошист</v>
      </c>
      <c r="N103" s="25" t="str">
        <f t="shared" si="32"/>
        <v>4</v>
      </c>
      <c r="O103" s="46" t="str">
        <f t="shared" si="33"/>
        <v>Ынта тұрақты</v>
      </c>
      <c r="Q103" s="48" t="str">
        <f>IF(N100&lt;N99, "2-тоқсанда ынта төмендеді", IF(N101&lt;N100, "3-тоқсанда ынта төмендеді", IF(N102&lt;N101, "4-тоқсанда ынта төмендеді", "Төмендеу жоқ")))</f>
        <v>Төмендеу жоқ</v>
      </c>
    </row>
    <row r="104" spans="1:17" ht="22.5" thickBot="1" x14ac:dyDescent="0.4">
      <c r="A104" s="41"/>
      <c r="B104" s="41"/>
      <c r="C104" s="22" t="s">
        <v>121</v>
      </c>
      <c r="D104" s="23" t="s">
        <v>116</v>
      </c>
      <c r="E104" s="23" t="s">
        <v>116</v>
      </c>
      <c r="F104" s="23" t="s">
        <v>116</v>
      </c>
      <c r="G104" s="23" t="s">
        <v>116</v>
      </c>
      <c r="H104" s="23">
        <v>4</v>
      </c>
      <c r="I104" s="23" t="s">
        <v>116</v>
      </c>
      <c r="J104" s="23" t="s">
        <v>116</v>
      </c>
      <c r="K104" s="23" t="s">
        <v>116</v>
      </c>
      <c r="L104" s="23" t="s">
        <v>116</v>
      </c>
      <c r="M104" s="25" t="str">
        <f t="shared" si="31"/>
        <v>Хорошист</v>
      </c>
      <c r="N104" s="25" t="str">
        <f t="shared" si="32"/>
        <v>4</v>
      </c>
      <c r="O104" s="46" t="str">
        <f t="shared" si="33"/>
        <v>Ынта тұрақты</v>
      </c>
    </row>
    <row r="105" spans="1:17" ht="22.5" thickBot="1" x14ac:dyDescent="0.4">
      <c r="A105" s="42"/>
      <c r="B105" s="42"/>
      <c r="C105" s="22" t="s">
        <v>122</v>
      </c>
      <c r="D105" s="23" t="s">
        <v>116</v>
      </c>
      <c r="E105" s="23" t="s">
        <v>116</v>
      </c>
      <c r="F105" s="23" t="s">
        <v>116</v>
      </c>
      <c r="G105" s="23" t="s">
        <v>116</v>
      </c>
      <c r="H105" s="23">
        <v>4</v>
      </c>
      <c r="I105" s="23" t="s">
        <v>116</v>
      </c>
      <c r="J105" s="23" t="s">
        <v>116</v>
      </c>
      <c r="K105" s="23" t="s">
        <v>116</v>
      </c>
      <c r="L105" s="23" t="s">
        <v>116</v>
      </c>
      <c r="M105" s="25" t="str">
        <f t="shared" si="31"/>
        <v>Хорошист</v>
      </c>
      <c r="N105" s="25" t="str">
        <f t="shared" si="32"/>
        <v>4</v>
      </c>
      <c r="O105" s="46" t="str">
        <f t="shared" si="33"/>
        <v>Ынта тұрақты</v>
      </c>
    </row>
    <row r="106" spans="1:17" ht="29.25" customHeight="1" thickBot="1" x14ac:dyDescent="0.4">
      <c r="A106" s="40">
        <v>13</v>
      </c>
      <c r="B106" s="40" t="s">
        <v>134</v>
      </c>
      <c r="C106" s="51" t="str">
        <f>IF(O100:O106="Ынта төмендеді","1. Жеке тапсырма беру; 2. Практикалық мысалдар келтіру; 3. Шағын мақсаттар қою; 4. Оқушының пікірін сұрау; 5. Ойын элементтерін қосу",
IF(AND(N103&gt;3, N105&gt;3), "1. Базалық білімді қалпына келтіру; 2. Қосымша сабақтар; 3. Жеңіл тапсырмалар арқылы сәттілік сезімін ояту; 4. Ата-анамен байланыс; 5. Пәнді өмірмен байланыстыру",
 "Ынта қалыпты, ынталандыруды жалғастыру"))</f>
        <v>1. Базалық білімді қалпына келтіру; 2. Қосымша сабақтар; 3. Жеңіл тапсырмалар арқылы сәттілік сезімін ояту; 4. Ата-анамен байланыс; 5. Пәнді өмірмен байланыстыру</v>
      </c>
      <c r="D106" s="52"/>
      <c r="E106" s="52"/>
      <c r="F106" s="52"/>
      <c r="G106" s="52"/>
      <c r="H106" s="52"/>
      <c r="I106" s="52"/>
      <c r="J106" s="52"/>
      <c r="K106" s="52"/>
      <c r="L106" s="52"/>
      <c r="N106" s="29">
        <f>AVERAGE(D103:L105)</f>
        <v>4.2727272727272725</v>
      </c>
      <c r="O106" s="29"/>
      <c r="P106" s="30">
        <f>ROUNDDOWN(N106, 0)</f>
        <v>4</v>
      </c>
    </row>
    <row r="107" spans="1:17" ht="22.5" thickBot="1" x14ac:dyDescent="0.4">
      <c r="A107" s="41"/>
      <c r="B107" s="41"/>
      <c r="C107" s="22" t="s">
        <v>115</v>
      </c>
      <c r="D107" s="23" t="s">
        <v>116</v>
      </c>
      <c r="E107" s="23">
        <v>5</v>
      </c>
      <c r="F107" s="23">
        <v>5</v>
      </c>
      <c r="G107" s="23">
        <v>5</v>
      </c>
      <c r="H107" s="23">
        <v>5</v>
      </c>
      <c r="I107" s="23">
        <v>5</v>
      </c>
      <c r="J107" s="23">
        <v>5</v>
      </c>
      <c r="K107" s="23">
        <v>5</v>
      </c>
      <c r="L107" s="23">
        <v>5</v>
      </c>
      <c r="M107" s="25" t="str">
        <f t="shared" ref="M107:M113" si="34">IF(MIN(D107:L107)=5, "Отличник", IF(MIN(D107:L107)&gt;=4, "Хорошист", IF(MIN(D107:L107)=3, "Троечник", "Двоечник")))</f>
        <v>Отличник</v>
      </c>
      <c r="N107" s="25" t="str">
        <f t="shared" ref="N107:N113" si="35">IF(MIN(D107:L107)=5, "5", IF(MIN(D107:L107)&gt;=4, "4", IF(MIN(D107:L107)=3, "3")))</f>
        <v>5</v>
      </c>
    </row>
    <row r="108" spans="1:17" ht="22.5" thickBot="1" x14ac:dyDescent="0.4">
      <c r="A108" s="41"/>
      <c r="B108" s="41"/>
      <c r="C108" s="22" t="s">
        <v>117</v>
      </c>
      <c r="D108" s="23">
        <v>5</v>
      </c>
      <c r="E108" s="23">
        <v>5</v>
      </c>
      <c r="F108" s="23">
        <v>5</v>
      </c>
      <c r="G108" s="23">
        <v>5</v>
      </c>
      <c r="H108" s="23">
        <v>5</v>
      </c>
      <c r="I108" s="23">
        <v>5</v>
      </c>
      <c r="J108" s="23">
        <v>5</v>
      </c>
      <c r="K108" s="23">
        <v>5</v>
      </c>
      <c r="L108" s="23">
        <v>5</v>
      </c>
      <c r="M108" s="25" t="str">
        <f t="shared" si="34"/>
        <v>Отличник</v>
      </c>
      <c r="N108" s="25" t="str">
        <f t="shared" si="35"/>
        <v>5</v>
      </c>
      <c r="O108" s="46" t="str">
        <f>IF(OR(N108&lt;N107,AND(N108&lt;=3,N108&lt;=3)),"Ынта төмендеді","Ынта тұрақты")</f>
        <v>Ынта тұрақты</v>
      </c>
    </row>
    <row r="109" spans="1:17" ht="22.5" thickBot="1" x14ac:dyDescent="0.4">
      <c r="A109" s="41"/>
      <c r="B109" s="41"/>
      <c r="C109" s="22" t="s">
        <v>118</v>
      </c>
      <c r="D109" s="23" t="s">
        <v>116</v>
      </c>
      <c r="E109" s="23">
        <v>5</v>
      </c>
      <c r="F109" s="23">
        <v>5</v>
      </c>
      <c r="G109" s="23">
        <v>5</v>
      </c>
      <c r="H109" s="23">
        <v>5</v>
      </c>
      <c r="I109" s="23">
        <v>5</v>
      </c>
      <c r="J109" s="23">
        <v>5</v>
      </c>
      <c r="K109" s="23">
        <v>5</v>
      </c>
      <c r="L109" s="23">
        <v>5</v>
      </c>
      <c r="M109" s="25" t="str">
        <f t="shared" si="34"/>
        <v>Отличник</v>
      </c>
      <c r="N109" s="25" t="str">
        <f t="shared" si="35"/>
        <v>5</v>
      </c>
      <c r="O109" s="46" t="str">
        <f t="shared" ref="O109:O113" si="36">IF(OR(N109&lt;N108,AND(N109&lt;=3,N109&lt;=3)),"Ынта төмендеді","Ынта тұрақты")</f>
        <v>Ынта тұрақты</v>
      </c>
    </row>
    <row r="110" spans="1:17" ht="22.5" thickBot="1" x14ac:dyDescent="0.4">
      <c r="A110" s="41"/>
      <c r="B110" s="41"/>
      <c r="C110" s="22" t="s">
        <v>119</v>
      </c>
      <c r="D110" s="23">
        <v>5</v>
      </c>
      <c r="E110" s="23">
        <v>5</v>
      </c>
      <c r="F110" s="23">
        <v>5</v>
      </c>
      <c r="G110" s="23">
        <v>5</v>
      </c>
      <c r="H110" s="23">
        <v>5</v>
      </c>
      <c r="I110" s="23">
        <v>5</v>
      </c>
      <c r="J110" s="23">
        <v>5</v>
      </c>
      <c r="K110" s="23">
        <v>5</v>
      </c>
      <c r="L110" s="23">
        <v>5</v>
      </c>
      <c r="M110" s="25" t="str">
        <f t="shared" si="34"/>
        <v>Отличник</v>
      </c>
      <c r="N110" s="25" t="str">
        <f t="shared" si="35"/>
        <v>5</v>
      </c>
      <c r="O110" s="46" t="str">
        <f t="shared" si="36"/>
        <v>Ынта тұрақты</v>
      </c>
    </row>
    <row r="111" spans="1:17" ht="22.5" thickBot="1" x14ac:dyDescent="0.4">
      <c r="A111" s="41"/>
      <c r="B111" s="41"/>
      <c r="C111" s="22" t="s">
        <v>120</v>
      </c>
      <c r="D111" s="23">
        <v>5</v>
      </c>
      <c r="E111" s="23">
        <v>5</v>
      </c>
      <c r="F111" s="23">
        <v>5</v>
      </c>
      <c r="G111" s="23">
        <v>5</v>
      </c>
      <c r="H111" s="23">
        <v>5</v>
      </c>
      <c r="I111" s="23">
        <v>5</v>
      </c>
      <c r="J111" s="23">
        <v>5</v>
      </c>
      <c r="K111" s="23">
        <v>5</v>
      </c>
      <c r="L111" s="23">
        <v>5</v>
      </c>
      <c r="M111" s="25" t="str">
        <f t="shared" si="34"/>
        <v>Отличник</v>
      </c>
      <c r="N111" s="25" t="str">
        <f t="shared" si="35"/>
        <v>5</v>
      </c>
      <c r="O111" s="46" t="str">
        <f t="shared" si="36"/>
        <v>Ынта тұрақты</v>
      </c>
      <c r="Q111" s="48" t="str">
        <f>IF(N108&lt;N107, "2-тоқсанда ынта төмендеді", IF(N109&lt;N108, "3-тоқсанда ынта төмендеді", IF(N110&lt;N109, "4-тоқсанда ынта төмендеді", "Төмендеу жоқ")))</f>
        <v>Төмендеу жоқ</v>
      </c>
    </row>
    <row r="112" spans="1:17" ht="22.5" thickBot="1" x14ac:dyDescent="0.4">
      <c r="A112" s="41"/>
      <c r="B112" s="41"/>
      <c r="C112" s="22" t="s">
        <v>121</v>
      </c>
      <c r="D112" s="23" t="s">
        <v>116</v>
      </c>
      <c r="E112" s="23" t="s">
        <v>116</v>
      </c>
      <c r="F112" s="23" t="s">
        <v>116</v>
      </c>
      <c r="G112" s="23" t="s">
        <v>116</v>
      </c>
      <c r="H112" s="23">
        <v>5</v>
      </c>
      <c r="I112" s="23" t="s">
        <v>116</v>
      </c>
      <c r="J112" s="23" t="s">
        <v>116</v>
      </c>
      <c r="K112" s="23" t="s">
        <v>116</v>
      </c>
      <c r="L112" s="23" t="s">
        <v>116</v>
      </c>
      <c r="M112" s="25" t="str">
        <f t="shared" si="34"/>
        <v>Отличник</v>
      </c>
      <c r="N112" s="25" t="str">
        <f t="shared" si="35"/>
        <v>5</v>
      </c>
      <c r="O112" s="46" t="str">
        <f t="shared" si="36"/>
        <v>Ынта тұрақты</v>
      </c>
    </row>
    <row r="113" spans="1:17" ht="22.5" thickBot="1" x14ac:dyDescent="0.4">
      <c r="A113" s="42"/>
      <c r="B113" s="42"/>
      <c r="C113" s="22" t="s">
        <v>122</v>
      </c>
      <c r="D113" s="23" t="s">
        <v>116</v>
      </c>
      <c r="E113" s="23" t="s">
        <v>116</v>
      </c>
      <c r="F113" s="23" t="s">
        <v>116</v>
      </c>
      <c r="G113" s="23" t="s">
        <v>116</v>
      </c>
      <c r="H113" s="23">
        <v>5</v>
      </c>
      <c r="I113" s="23" t="s">
        <v>116</v>
      </c>
      <c r="J113" s="23" t="s">
        <v>116</v>
      </c>
      <c r="K113" s="23" t="s">
        <v>116</v>
      </c>
      <c r="L113" s="23" t="s">
        <v>116</v>
      </c>
      <c r="M113" s="25" t="str">
        <f t="shared" si="34"/>
        <v>Отличник</v>
      </c>
      <c r="N113" s="25" t="str">
        <f t="shared" si="35"/>
        <v>5</v>
      </c>
      <c r="O113" s="46" t="str">
        <f t="shared" si="36"/>
        <v>Ынта тұрақты</v>
      </c>
    </row>
    <row r="114" spans="1:17" ht="32.25" customHeight="1" thickBot="1" x14ac:dyDescent="0.4">
      <c r="A114" s="40">
        <v>14</v>
      </c>
      <c r="B114" s="40" t="s">
        <v>135</v>
      </c>
      <c r="C114" s="51" t="str">
        <f>IF(O108:O114="Ынта төмендеді","1. Жеке тапсырма беру; 2. Практикалық мысалдар келтіру; 3. Шағын мақсаттар қою; 4. Оқушының пікірін сұрау; 5. Ойын элементтерін қосу",
IF(AND(N111&gt;3, N113&gt;3), "1. Базалық білімді қалпына келтіру; 2. Қосымша сабақтар; 3. Жеңіл тапсырмалар арқылы сәттілік сезімін ояту; 4. Ата-анамен байланыс; 5. Пәнді өмірмен байланыстыру",
 "Ынта қалыпты, ынталандыруды жалғастыру"))</f>
        <v>1. Базалық білімді қалпына келтіру; 2. Қосымша сабақтар; 3. Жеңіл тапсырмалар арқылы сәттілік сезімін ояту; 4. Ата-анамен байланыс; 5. Пәнді өмірмен байланыстыру</v>
      </c>
      <c r="D114" s="52"/>
      <c r="E114" s="52"/>
      <c r="F114" s="52"/>
      <c r="G114" s="52"/>
      <c r="H114" s="52"/>
      <c r="I114" s="52"/>
      <c r="J114" s="52"/>
      <c r="K114" s="52"/>
      <c r="L114" s="52"/>
      <c r="N114" s="29">
        <f>AVERAGE(D111:L113)</f>
        <v>5</v>
      </c>
      <c r="O114" s="29"/>
      <c r="P114" s="30">
        <f>ROUNDDOWN(N114, 0)</f>
        <v>5</v>
      </c>
    </row>
    <row r="115" spans="1:17" ht="22.5" thickBot="1" x14ac:dyDescent="0.4">
      <c r="A115" s="41"/>
      <c r="B115" s="41"/>
      <c r="C115" s="22" t="s">
        <v>115</v>
      </c>
      <c r="D115" s="23" t="s">
        <v>116</v>
      </c>
      <c r="E115" s="23">
        <v>4</v>
      </c>
      <c r="F115" s="23">
        <v>5</v>
      </c>
      <c r="G115" s="23">
        <v>4</v>
      </c>
      <c r="H115" s="23">
        <v>4</v>
      </c>
      <c r="I115" s="23">
        <v>4</v>
      </c>
      <c r="J115" s="23">
        <v>4</v>
      </c>
      <c r="K115" s="23">
        <v>4</v>
      </c>
      <c r="L115" s="23">
        <v>4</v>
      </c>
      <c r="M115" s="25" t="str">
        <f t="shared" ref="M115:M121" si="37">IF(MIN(D115:L115)=5, "Отличник", IF(MIN(D115:L115)&gt;=4, "Хорошист", IF(MIN(D115:L115)=3, "Троечник", "Двоечник")))</f>
        <v>Хорошист</v>
      </c>
      <c r="N115" s="25" t="str">
        <f t="shared" ref="N115:N121" si="38">IF(MIN(D115:L115)=5, "5", IF(MIN(D115:L115)&gt;=4, "4", IF(MIN(D115:L115)=3, "3")))</f>
        <v>4</v>
      </c>
    </row>
    <row r="116" spans="1:17" ht="22.5" thickBot="1" x14ac:dyDescent="0.4">
      <c r="A116" s="41"/>
      <c r="B116" s="41"/>
      <c r="C116" s="22" t="s">
        <v>117</v>
      </c>
      <c r="D116" s="23">
        <v>4</v>
      </c>
      <c r="E116" s="23">
        <v>5</v>
      </c>
      <c r="F116" s="23">
        <v>5</v>
      </c>
      <c r="G116" s="23">
        <v>4</v>
      </c>
      <c r="H116" s="23">
        <v>4</v>
      </c>
      <c r="I116" s="23">
        <v>4</v>
      </c>
      <c r="J116" s="23">
        <v>4</v>
      </c>
      <c r="K116" s="23">
        <v>4</v>
      </c>
      <c r="L116" s="23">
        <v>4</v>
      </c>
      <c r="M116" s="25" t="str">
        <f t="shared" si="37"/>
        <v>Хорошист</v>
      </c>
      <c r="N116" s="25" t="str">
        <f t="shared" si="38"/>
        <v>4</v>
      </c>
      <c r="O116" s="46" t="str">
        <f>IF(OR(N116&lt;N115,AND(N116&lt;=3,N116&lt;=3)),"Ынта төмендеді","Ынта тұрақты")</f>
        <v>Ынта тұрақты</v>
      </c>
    </row>
    <row r="117" spans="1:17" ht="22.5" thickBot="1" x14ac:dyDescent="0.4">
      <c r="A117" s="41"/>
      <c r="B117" s="41"/>
      <c r="C117" s="22" t="s">
        <v>118</v>
      </c>
      <c r="D117" s="23" t="s">
        <v>116</v>
      </c>
      <c r="E117" s="23">
        <v>5</v>
      </c>
      <c r="F117" s="23">
        <v>4</v>
      </c>
      <c r="G117" s="23">
        <v>4</v>
      </c>
      <c r="H117" s="23">
        <v>4</v>
      </c>
      <c r="I117" s="23">
        <v>4</v>
      </c>
      <c r="J117" s="23">
        <v>4</v>
      </c>
      <c r="K117" s="23">
        <v>4</v>
      </c>
      <c r="L117" s="23">
        <v>4</v>
      </c>
      <c r="M117" s="25" t="str">
        <f t="shared" si="37"/>
        <v>Хорошист</v>
      </c>
      <c r="N117" s="25" t="str">
        <f t="shared" si="38"/>
        <v>4</v>
      </c>
      <c r="O117" s="46" t="str">
        <f t="shared" ref="O117:O121" si="39">IF(OR(N117&lt;N116,AND(N117&lt;=3,N117&lt;=3)),"Ынта төмендеді","Ынта тұрақты")</f>
        <v>Ынта тұрақты</v>
      </c>
    </row>
    <row r="118" spans="1:17" ht="22.5" thickBot="1" x14ac:dyDescent="0.4">
      <c r="A118" s="41"/>
      <c r="B118" s="41"/>
      <c r="C118" s="22" t="s">
        <v>119</v>
      </c>
      <c r="D118" s="23">
        <v>4</v>
      </c>
      <c r="E118" s="23">
        <v>4</v>
      </c>
      <c r="F118" s="23">
        <v>5</v>
      </c>
      <c r="G118" s="23">
        <v>4</v>
      </c>
      <c r="H118" s="23">
        <v>4</v>
      </c>
      <c r="I118" s="23">
        <v>4</v>
      </c>
      <c r="J118" s="23">
        <v>4</v>
      </c>
      <c r="K118" s="23">
        <v>4</v>
      </c>
      <c r="L118" s="23">
        <v>4</v>
      </c>
      <c r="M118" s="25" t="str">
        <f t="shared" si="37"/>
        <v>Хорошист</v>
      </c>
      <c r="N118" s="25" t="str">
        <f t="shared" si="38"/>
        <v>4</v>
      </c>
      <c r="O118" s="46" t="str">
        <f t="shared" si="39"/>
        <v>Ынта тұрақты</v>
      </c>
    </row>
    <row r="119" spans="1:17" ht="22.5" thickBot="1" x14ac:dyDescent="0.4">
      <c r="A119" s="41"/>
      <c r="B119" s="41"/>
      <c r="C119" s="22" t="s">
        <v>120</v>
      </c>
      <c r="D119" s="23">
        <v>4</v>
      </c>
      <c r="E119" s="23">
        <v>5</v>
      </c>
      <c r="F119" s="23">
        <v>5</v>
      </c>
      <c r="G119" s="23">
        <v>4</v>
      </c>
      <c r="H119" s="23">
        <v>4</v>
      </c>
      <c r="I119" s="23">
        <v>4</v>
      </c>
      <c r="J119" s="23">
        <v>4</v>
      </c>
      <c r="K119" s="23">
        <v>4</v>
      </c>
      <c r="L119" s="23">
        <v>4</v>
      </c>
      <c r="M119" s="25" t="str">
        <f t="shared" si="37"/>
        <v>Хорошист</v>
      </c>
      <c r="N119" s="25" t="str">
        <f t="shared" si="38"/>
        <v>4</v>
      </c>
      <c r="O119" s="46" t="str">
        <f t="shared" si="39"/>
        <v>Ынта тұрақты</v>
      </c>
      <c r="Q119" s="48" t="str">
        <f>IF(N116&lt;N115, "2-тоқсанда ынта төмендеді", IF(N117&lt;N116, "3-тоқсанда ынта төмендеді", IF(N118&lt;N117, "4-тоқсанда ынта төмендеді", "Төмендеу жоқ")))</f>
        <v>Төмендеу жоқ</v>
      </c>
    </row>
    <row r="120" spans="1:17" ht="22.5" thickBot="1" x14ac:dyDescent="0.4">
      <c r="A120" s="41"/>
      <c r="B120" s="41"/>
      <c r="C120" s="22" t="s">
        <v>121</v>
      </c>
      <c r="D120" s="23" t="s">
        <v>116</v>
      </c>
      <c r="E120" s="23" t="s">
        <v>116</v>
      </c>
      <c r="F120" s="23" t="s">
        <v>116</v>
      </c>
      <c r="G120" s="23" t="s">
        <v>116</v>
      </c>
      <c r="H120" s="23">
        <v>4</v>
      </c>
      <c r="I120" s="23" t="s">
        <v>116</v>
      </c>
      <c r="J120" s="23" t="s">
        <v>116</v>
      </c>
      <c r="K120" s="23" t="s">
        <v>116</v>
      </c>
      <c r="L120" s="23" t="s">
        <v>116</v>
      </c>
      <c r="M120" s="25" t="str">
        <f t="shared" si="37"/>
        <v>Хорошист</v>
      </c>
      <c r="N120" s="25" t="str">
        <f t="shared" si="38"/>
        <v>4</v>
      </c>
      <c r="O120" s="46" t="str">
        <f t="shared" si="39"/>
        <v>Ынта тұрақты</v>
      </c>
    </row>
    <row r="121" spans="1:17" ht="22.5" thickBot="1" x14ac:dyDescent="0.4">
      <c r="A121" s="42"/>
      <c r="B121" s="42"/>
      <c r="C121" s="22" t="s">
        <v>122</v>
      </c>
      <c r="D121" s="23" t="s">
        <v>116</v>
      </c>
      <c r="E121" s="23" t="s">
        <v>116</v>
      </c>
      <c r="F121" s="23" t="s">
        <v>116</v>
      </c>
      <c r="G121" s="23" t="s">
        <v>116</v>
      </c>
      <c r="H121" s="23">
        <v>4</v>
      </c>
      <c r="I121" s="23" t="s">
        <v>116</v>
      </c>
      <c r="J121" s="23" t="s">
        <v>116</v>
      </c>
      <c r="K121" s="23" t="s">
        <v>116</v>
      </c>
      <c r="L121" s="23" t="s">
        <v>116</v>
      </c>
      <c r="M121" s="25" t="str">
        <f t="shared" si="37"/>
        <v>Хорошист</v>
      </c>
      <c r="N121" s="25" t="str">
        <f t="shared" si="38"/>
        <v>4</v>
      </c>
      <c r="O121" s="46" t="str">
        <f t="shared" si="39"/>
        <v>Ынта тұрақты</v>
      </c>
    </row>
    <row r="122" spans="1:17" ht="30.75" customHeight="1" thickBot="1" x14ac:dyDescent="0.4">
      <c r="A122" s="40">
        <v>15</v>
      </c>
      <c r="B122" s="40" t="s">
        <v>136</v>
      </c>
      <c r="C122" s="51" t="str">
        <f>IF(O116:O122="Ынта төмендеді","1. Жеке тапсырма беру; 2. Практикалық мысалдар келтіру; 3. Шағын мақсаттар қою; 4. Оқушының пікірін сұрау; 5. Ойын элементтерін қосу",
IF(AND(N119&gt;3, N121&gt;3), "1. Базалық білімді қалпына келтіру; 2. Қосымша сабақтар; 3. Жеңіл тапсырмалар арқылы сәттілік сезімін ояту; 4. Ата-анамен байланыс; 5. Пәнді өмірмен байланыстыру",
 "Ынта қалыпты, ынталандыруды жалғастыру"))</f>
        <v>1. Базалық білімді қалпына келтіру; 2. Қосымша сабақтар; 3. Жеңіл тапсырмалар арқылы сәттілік сезімін ояту; 4. Ата-анамен байланыс; 5. Пәнді өмірмен байланыстыру</v>
      </c>
      <c r="D122" s="52"/>
      <c r="E122" s="52"/>
      <c r="F122" s="52"/>
      <c r="G122" s="52"/>
      <c r="H122" s="52"/>
      <c r="I122" s="52"/>
      <c r="J122" s="52"/>
      <c r="K122" s="52"/>
      <c r="L122" s="52"/>
      <c r="N122" s="29">
        <f>AVERAGE(D119:L121)</f>
        <v>4.1818181818181817</v>
      </c>
      <c r="O122" s="29"/>
      <c r="P122" s="30">
        <f>ROUNDDOWN(N122, 0)</f>
        <v>4</v>
      </c>
    </row>
    <row r="123" spans="1:17" ht="22.5" thickBot="1" x14ac:dyDescent="0.4">
      <c r="A123" s="41"/>
      <c r="B123" s="41"/>
      <c r="C123" s="22" t="s">
        <v>115</v>
      </c>
      <c r="D123" s="23" t="s">
        <v>116</v>
      </c>
      <c r="E123" s="23">
        <v>4</v>
      </c>
      <c r="F123" s="23">
        <v>5</v>
      </c>
      <c r="G123" s="23">
        <v>5</v>
      </c>
      <c r="H123" s="23">
        <v>5</v>
      </c>
      <c r="I123" s="23">
        <v>4</v>
      </c>
      <c r="J123" s="23">
        <v>4</v>
      </c>
      <c r="K123" s="23">
        <v>4</v>
      </c>
      <c r="L123" s="23">
        <v>5</v>
      </c>
      <c r="M123" s="25" t="str">
        <f t="shared" ref="M123:M129" si="40">IF(MIN(D123:L123)=5, "Отличник", IF(MIN(D123:L123)&gt;=4, "Хорошист", IF(MIN(D123:L123)=3, "Троечник", "Двоечник")))</f>
        <v>Хорошист</v>
      </c>
      <c r="N123" s="25" t="str">
        <f t="shared" ref="N123:N129" si="41">IF(MIN(D123:L123)=5, "5", IF(MIN(D123:L123)&gt;=4, "4", IF(MIN(D123:L123)=3, "3")))</f>
        <v>4</v>
      </c>
    </row>
    <row r="124" spans="1:17" ht="22.5" thickBot="1" x14ac:dyDescent="0.4">
      <c r="A124" s="41"/>
      <c r="B124" s="41"/>
      <c r="C124" s="22" t="s">
        <v>117</v>
      </c>
      <c r="D124" s="23">
        <v>4</v>
      </c>
      <c r="E124" s="23">
        <v>5</v>
      </c>
      <c r="F124" s="23">
        <v>5</v>
      </c>
      <c r="G124" s="23">
        <v>5</v>
      </c>
      <c r="H124" s="23">
        <v>4</v>
      </c>
      <c r="I124" s="23">
        <v>5</v>
      </c>
      <c r="J124" s="23">
        <v>5</v>
      </c>
      <c r="K124" s="23">
        <v>4</v>
      </c>
      <c r="L124" s="23">
        <v>5</v>
      </c>
      <c r="M124" s="25" t="str">
        <f t="shared" si="40"/>
        <v>Хорошист</v>
      </c>
      <c r="N124" s="25" t="str">
        <f t="shared" si="41"/>
        <v>4</v>
      </c>
      <c r="O124" s="46" t="str">
        <f>IF(OR(N124&lt;N123,AND(N124&lt;=3,N124&lt;=3)),"Ынта төмендеді","Ынта тұрақты")</f>
        <v>Ынта тұрақты</v>
      </c>
    </row>
    <row r="125" spans="1:17" ht="22.5" thickBot="1" x14ac:dyDescent="0.4">
      <c r="A125" s="41"/>
      <c r="B125" s="41"/>
      <c r="C125" s="22" t="s">
        <v>118</v>
      </c>
      <c r="D125" s="23" t="s">
        <v>116</v>
      </c>
      <c r="E125" s="23">
        <v>5</v>
      </c>
      <c r="F125" s="23">
        <v>5</v>
      </c>
      <c r="G125" s="23">
        <v>4</v>
      </c>
      <c r="H125" s="23">
        <v>5</v>
      </c>
      <c r="I125" s="23">
        <v>4</v>
      </c>
      <c r="J125" s="23">
        <v>4</v>
      </c>
      <c r="K125" s="23">
        <v>5</v>
      </c>
      <c r="L125" s="23">
        <v>5</v>
      </c>
      <c r="M125" s="25" t="str">
        <f t="shared" si="40"/>
        <v>Хорошист</v>
      </c>
      <c r="N125" s="25" t="str">
        <f t="shared" si="41"/>
        <v>4</v>
      </c>
      <c r="O125" s="46" t="str">
        <f t="shared" ref="O125:O129" si="42">IF(OR(N125&lt;N124,AND(N125&lt;=3,N125&lt;=3)),"Ынта төмендеді","Ынта тұрақты")</f>
        <v>Ынта тұрақты</v>
      </c>
    </row>
    <row r="126" spans="1:17" ht="22.5" thickBot="1" x14ac:dyDescent="0.4">
      <c r="A126" s="41"/>
      <c r="B126" s="41"/>
      <c r="C126" s="22" t="s">
        <v>119</v>
      </c>
      <c r="D126" s="23">
        <v>5</v>
      </c>
      <c r="E126" s="23">
        <v>5</v>
      </c>
      <c r="F126" s="23">
        <v>5</v>
      </c>
      <c r="G126" s="23">
        <v>5</v>
      </c>
      <c r="H126" s="23">
        <v>5</v>
      </c>
      <c r="I126" s="23">
        <v>5</v>
      </c>
      <c r="J126" s="23">
        <v>5</v>
      </c>
      <c r="K126" s="23">
        <v>5</v>
      </c>
      <c r="L126" s="23">
        <v>5</v>
      </c>
      <c r="M126" s="25" t="str">
        <f t="shared" si="40"/>
        <v>Отличник</v>
      </c>
      <c r="N126" s="25" t="str">
        <f t="shared" si="41"/>
        <v>5</v>
      </c>
      <c r="O126" s="46" t="str">
        <f t="shared" si="42"/>
        <v>Ынта тұрақты</v>
      </c>
    </row>
    <row r="127" spans="1:17" ht="22.5" thickBot="1" x14ac:dyDescent="0.4">
      <c r="A127" s="41"/>
      <c r="B127" s="41"/>
      <c r="C127" s="22" t="s">
        <v>120</v>
      </c>
      <c r="D127" s="23">
        <v>5</v>
      </c>
      <c r="E127" s="23">
        <v>5</v>
      </c>
      <c r="F127" s="23">
        <v>5</v>
      </c>
      <c r="G127" s="23">
        <v>5</v>
      </c>
      <c r="H127" s="23">
        <v>5</v>
      </c>
      <c r="I127" s="23">
        <v>5</v>
      </c>
      <c r="J127" s="23">
        <v>5</v>
      </c>
      <c r="K127" s="23">
        <v>5</v>
      </c>
      <c r="L127" s="23">
        <v>5</v>
      </c>
      <c r="M127" s="25" t="str">
        <f t="shared" si="40"/>
        <v>Отличник</v>
      </c>
      <c r="N127" s="25" t="str">
        <f t="shared" si="41"/>
        <v>5</v>
      </c>
      <c r="O127" s="46" t="str">
        <f t="shared" si="42"/>
        <v>Ынта тұрақты</v>
      </c>
      <c r="Q127" s="48" t="str">
        <f>IF(N124&lt;N123, "2-тоқсанда ынта төмендеді", IF(N125&lt;N124, "3-тоқсанда ынта төмендеді", IF(N126&lt;N125, "4-тоқсанда ынта төмендеді", "Төмендеу жоқ")))</f>
        <v>Төмендеу жоқ</v>
      </c>
    </row>
    <row r="128" spans="1:17" ht="22.5" thickBot="1" x14ac:dyDescent="0.4">
      <c r="A128" s="41"/>
      <c r="B128" s="41"/>
      <c r="C128" s="22" t="s">
        <v>121</v>
      </c>
      <c r="D128" s="23" t="s">
        <v>116</v>
      </c>
      <c r="E128" s="23" t="s">
        <v>116</v>
      </c>
      <c r="F128" s="23" t="s">
        <v>116</v>
      </c>
      <c r="G128" s="23" t="s">
        <v>116</v>
      </c>
      <c r="H128" s="23">
        <v>5</v>
      </c>
      <c r="I128" s="23" t="s">
        <v>116</v>
      </c>
      <c r="J128" s="23" t="s">
        <v>116</v>
      </c>
      <c r="K128" s="23" t="s">
        <v>116</v>
      </c>
      <c r="L128" s="23" t="s">
        <v>116</v>
      </c>
      <c r="M128" s="25" t="str">
        <f t="shared" si="40"/>
        <v>Отличник</v>
      </c>
      <c r="N128" s="25" t="str">
        <f t="shared" si="41"/>
        <v>5</v>
      </c>
      <c r="O128" s="46" t="str">
        <f t="shared" si="42"/>
        <v>Ынта тұрақты</v>
      </c>
    </row>
    <row r="129" spans="1:17" ht="22.5" thickBot="1" x14ac:dyDescent="0.4">
      <c r="A129" s="42"/>
      <c r="B129" s="42"/>
      <c r="C129" s="22" t="s">
        <v>122</v>
      </c>
      <c r="D129" s="23" t="s">
        <v>116</v>
      </c>
      <c r="E129" s="23" t="s">
        <v>116</v>
      </c>
      <c r="F129" s="23" t="s">
        <v>116</v>
      </c>
      <c r="G129" s="23" t="s">
        <v>116</v>
      </c>
      <c r="H129" s="23">
        <v>5</v>
      </c>
      <c r="I129" s="23" t="s">
        <v>116</v>
      </c>
      <c r="J129" s="23" t="s">
        <v>116</v>
      </c>
      <c r="K129" s="23" t="s">
        <v>116</v>
      </c>
      <c r="L129" s="23" t="s">
        <v>116</v>
      </c>
      <c r="M129" s="25" t="str">
        <f t="shared" si="40"/>
        <v>Отличник</v>
      </c>
      <c r="N129" s="25" t="str">
        <f t="shared" si="41"/>
        <v>5</v>
      </c>
      <c r="O129" s="46" t="str">
        <f t="shared" si="42"/>
        <v>Ынта тұрақты</v>
      </c>
    </row>
    <row r="130" spans="1:17" ht="33" customHeight="1" thickBot="1" x14ac:dyDescent="0.4">
      <c r="A130" s="40">
        <v>16</v>
      </c>
      <c r="B130" s="40" t="s">
        <v>137</v>
      </c>
      <c r="C130" s="51" t="str">
        <f>IF(O124:O130="Ынта төмендеді","1. Жеке тапсырма беру; 2. Практикалық мысалдар келтіру; 3. Шағын мақсаттар қою; 4. Оқушының пікірін сұрау; 5. Ойын элементтерін қосу",
IF(AND(N127&gt;3, N129&gt;3), "1. Базалық білімді қалпына келтіру; 2. Қосымша сабақтар; 3. Жеңіл тапсырмалар арқылы сәттілік сезімін ояту; 4. Ата-анамен байланыс; 5. Пәнді өмірмен байланыстыру",
 "Ынта қалыпты, ынталандыруды жалғастыру"))</f>
        <v>1. Базалық білімді қалпына келтіру; 2. Қосымша сабақтар; 3. Жеңіл тапсырмалар арқылы сәттілік сезімін ояту; 4. Ата-анамен байланыс; 5. Пәнді өмірмен байланыстыру</v>
      </c>
      <c r="D130" s="52"/>
      <c r="E130" s="52"/>
      <c r="F130" s="52"/>
      <c r="G130" s="52"/>
      <c r="H130" s="52"/>
      <c r="I130" s="52"/>
      <c r="J130" s="52"/>
      <c r="K130" s="52"/>
      <c r="L130" s="52"/>
      <c r="N130" s="29">
        <f>AVERAGE(D127:L129)</f>
        <v>5</v>
      </c>
      <c r="O130" s="29"/>
      <c r="P130" s="30">
        <f>ROUNDDOWN(N130, 0)</f>
        <v>5</v>
      </c>
    </row>
    <row r="131" spans="1:17" ht="22.5" thickBot="1" x14ac:dyDescent="0.4">
      <c r="A131" s="41"/>
      <c r="B131" s="41"/>
      <c r="C131" s="22" t="s">
        <v>115</v>
      </c>
      <c r="D131" s="23" t="s">
        <v>116</v>
      </c>
      <c r="E131" s="23">
        <v>5</v>
      </c>
      <c r="F131" s="23">
        <v>5</v>
      </c>
      <c r="G131" s="23">
        <v>5</v>
      </c>
      <c r="H131" s="23">
        <v>5</v>
      </c>
      <c r="I131" s="23">
        <v>5</v>
      </c>
      <c r="J131" s="23">
        <v>5</v>
      </c>
      <c r="K131" s="23">
        <v>5</v>
      </c>
      <c r="L131" s="23">
        <v>5</v>
      </c>
      <c r="M131" s="25" t="str">
        <f t="shared" ref="M131:M137" si="43">IF(MIN(D131:L131)=5, "Отличник", IF(MIN(D131:L131)&gt;=4, "Хорошист", IF(MIN(D131:L131)=3, "Троечник", "Двоечник")))</f>
        <v>Отличник</v>
      </c>
      <c r="N131" s="25" t="str">
        <f t="shared" ref="N131:N137" si="44">IF(MIN(D131:L131)=5, "5", IF(MIN(D131:L131)&gt;=4, "4", IF(MIN(D131:L131)=3, "3")))</f>
        <v>5</v>
      </c>
    </row>
    <row r="132" spans="1:17" ht="22.5" thickBot="1" x14ac:dyDescent="0.4">
      <c r="A132" s="41"/>
      <c r="B132" s="41"/>
      <c r="C132" s="22" t="s">
        <v>117</v>
      </c>
      <c r="D132" s="23">
        <v>5</v>
      </c>
      <c r="E132" s="23">
        <v>5</v>
      </c>
      <c r="F132" s="23">
        <v>5</v>
      </c>
      <c r="G132" s="23">
        <v>5</v>
      </c>
      <c r="H132" s="23">
        <v>5</v>
      </c>
      <c r="I132" s="23">
        <v>5</v>
      </c>
      <c r="J132" s="23">
        <v>5</v>
      </c>
      <c r="K132" s="23">
        <v>5</v>
      </c>
      <c r="L132" s="23">
        <v>5</v>
      </c>
      <c r="M132" s="25" t="str">
        <f t="shared" si="43"/>
        <v>Отличник</v>
      </c>
      <c r="N132" s="25" t="str">
        <f t="shared" si="44"/>
        <v>5</v>
      </c>
      <c r="O132" s="46" t="str">
        <f>IF(OR(N132&lt;N131,AND(N132&lt;=3,N132&lt;=3)),"Ынта төмендеді","Ынта тұрақты")</f>
        <v>Ынта тұрақты</v>
      </c>
    </row>
    <row r="133" spans="1:17" ht="22.5" thickBot="1" x14ac:dyDescent="0.4">
      <c r="A133" s="41"/>
      <c r="B133" s="41"/>
      <c r="C133" s="22" t="s">
        <v>118</v>
      </c>
      <c r="D133" s="23" t="s">
        <v>116</v>
      </c>
      <c r="E133" s="23">
        <v>5</v>
      </c>
      <c r="F133" s="23">
        <v>5</v>
      </c>
      <c r="G133" s="23">
        <v>5</v>
      </c>
      <c r="H133" s="23">
        <v>5</v>
      </c>
      <c r="I133" s="23">
        <v>4</v>
      </c>
      <c r="J133" s="23">
        <v>4</v>
      </c>
      <c r="K133" s="23">
        <v>5</v>
      </c>
      <c r="L133" s="23">
        <v>5</v>
      </c>
      <c r="M133" s="25" t="str">
        <f t="shared" si="43"/>
        <v>Хорошист</v>
      </c>
      <c r="N133" s="25" t="str">
        <f t="shared" si="44"/>
        <v>4</v>
      </c>
      <c r="O133" s="46" t="str">
        <f t="shared" ref="O133:O137" si="45">IF(OR(N133&lt;N132,AND(N133&lt;=3,N133&lt;=3)),"Ынта төмендеді","Ынта тұрақты")</f>
        <v>Ынта төмендеді</v>
      </c>
    </row>
    <row r="134" spans="1:17" ht="22.5" thickBot="1" x14ac:dyDescent="0.4">
      <c r="A134" s="41"/>
      <c r="B134" s="41"/>
      <c r="C134" s="22" t="s">
        <v>119</v>
      </c>
      <c r="D134" s="23">
        <v>5</v>
      </c>
      <c r="E134" s="23">
        <v>5</v>
      </c>
      <c r="F134" s="23">
        <v>5</v>
      </c>
      <c r="G134" s="23">
        <v>5</v>
      </c>
      <c r="H134" s="23">
        <v>5</v>
      </c>
      <c r="I134" s="23">
        <v>4</v>
      </c>
      <c r="J134" s="23">
        <v>5</v>
      </c>
      <c r="K134" s="23">
        <v>5</v>
      </c>
      <c r="L134" s="23">
        <v>5</v>
      </c>
      <c r="M134" s="25" t="str">
        <f t="shared" si="43"/>
        <v>Хорошист</v>
      </c>
      <c r="N134" s="25" t="str">
        <f t="shared" si="44"/>
        <v>4</v>
      </c>
      <c r="O134" s="46" t="str">
        <f t="shared" si="45"/>
        <v>Ынта тұрақты</v>
      </c>
    </row>
    <row r="135" spans="1:17" ht="22.5" thickBot="1" x14ac:dyDescent="0.4">
      <c r="A135" s="41"/>
      <c r="B135" s="41"/>
      <c r="C135" s="22" t="s">
        <v>120</v>
      </c>
      <c r="D135" s="23">
        <v>5</v>
      </c>
      <c r="E135" s="23">
        <v>5</v>
      </c>
      <c r="F135" s="23">
        <v>5</v>
      </c>
      <c r="G135" s="23">
        <v>5</v>
      </c>
      <c r="H135" s="23">
        <v>5</v>
      </c>
      <c r="I135" s="23">
        <v>5</v>
      </c>
      <c r="J135" s="23">
        <v>5</v>
      </c>
      <c r="K135" s="23">
        <v>5</v>
      </c>
      <c r="L135" s="23">
        <v>5</v>
      </c>
      <c r="M135" s="25" t="str">
        <f t="shared" si="43"/>
        <v>Отличник</v>
      </c>
      <c r="N135" s="25" t="str">
        <f t="shared" si="44"/>
        <v>5</v>
      </c>
      <c r="O135" s="46" t="str">
        <f t="shared" si="45"/>
        <v>Ынта тұрақты</v>
      </c>
      <c r="Q135" s="48" t="str">
        <f>IF(N132&lt;N131, "2-тоқсанда ынта төмендеді", IF(N133&lt;N132, "3-тоқсанда ынта төмендеді", IF(N134&lt;N133, "4-тоқсанда ынта төмендеді", "Төмендеу жоқ")))</f>
        <v>3-тоқсанда ынта төмендеді</v>
      </c>
    </row>
    <row r="136" spans="1:17" ht="22.5" thickBot="1" x14ac:dyDescent="0.4">
      <c r="A136" s="41"/>
      <c r="B136" s="41"/>
      <c r="C136" s="22" t="s">
        <v>121</v>
      </c>
      <c r="D136" s="23" t="s">
        <v>116</v>
      </c>
      <c r="E136" s="23" t="s">
        <v>116</v>
      </c>
      <c r="F136" s="23" t="s">
        <v>116</v>
      </c>
      <c r="G136" s="23" t="s">
        <v>116</v>
      </c>
      <c r="H136" s="23">
        <v>5</v>
      </c>
      <c r="I136" s="23" t="s">
        <v>116</v>
      </c>
      <c r="J136" s="23" t="s">
        <v>116</v>
      </c>
      <c r="K136" s="23" t="s">
        <v>116</v>
      </c>
      <c r="L136" s="23" t="s">
        <v>116</v>
      </c>
      <c r="M136" s="25" t="str">
        <f t="shared" si="43"/>
        <v>Отличник</v>
      </c>
      <c r="N136" s="25" t="str">
        <f t="shared" si="44"/>
        <v>5</v>
      </c>
      <c r="O136" s="46" t="str">
        <f t="shared" si="45"/>
        <v>Ынта тұрақты</v>
      </c>
    </row>
    <row r="137" spans="1:17" ht="22.5" thickBot="1" x14ac:dyDescent="0.4">
      <c r="A137" s="42"/>
      <c r="B137" s="42"/>
      <c r="C137" s="22" t="s">
        <v>122</v>
      </c>
      <c r="D137" s="23" t="s">
        <v>116</v>
      </c>
      <c r="E137" s="23" t="s">
        <v>116</v>
      </c>
      <c r="F137" s="23" t="s">
        <v>116</v>
      </c>
      <c r="G137" s="23" t="s">
        <v>116</v>
      </c>
      <c r="H137" s="23">
        <v>5</v>
      </c>
      <c r="I137" s="23" t="s">
        <v>116</v>
      </c>
      <c r="J137" s="23" t="s">
        <v>116</v>
      </c>
      <c r="K137" s="23" t="s">
        <v>116</v>
      </c>
      <c r="L137" s="23" t="s">
        <v>116</v>
      </c>
      <c r="M137" s="25" t="str">
        <f t="shared" si="43"/>
        <v>Отличник</v>
      </c>
      <c r="N137" s="25" t="str">
        <f t="shared" si="44"/>
        <v>5</v>
      </c>
      <c r="O137" s="46" t="str">
        <f t="shared" si="45"/>
        <v>Ынта тұрақты</v>
      </c>
    </row>
    <row r="138" spans="1:17" ht="37.5" customHeight="1" thickBot="1" x14ac:dyDescent="0.4">
      <c r="A138" s="40">
        <v>17</v>
      </c>
      <c r="B138" s="40" t="s">
        <v>138</v>
      </c>
      <c r="C138" s="51" t="str">
        <f>IF(O132:O138="Ынта төмендеді","1. Жеке тапсырма беру; 2. Практикалық мысалдар келтіру; 3. Шағын мақсаттар қою; 4. Оқушының пікірін сұрау; 5. Ойын элементтерін қосу",
IF(AND(N135&gt;3, N137&gt;3), "1. Базалық білімді қалпына келтіру; 2. Қосымша сабақтар; 3. Жеңіл тапсырмалар арқылы сәттілік сезімін ояту; 4. Ата-анамен байланыс; 5. Пәнді өмірмен байланыстыру",
 "Ынта қалыпты, ынталандыруды жалғастыру"))</f>
        <v>1. Базалық білімді қалпына келтіру; 2. Қосымша сабақтар; 3. Жеңіл тапсырмалар арқылы сәттілік сезімін ояту; 4. Ата-анамен байланыс; 5. Пәнді өмірмен байланыстыру</v>
      </c>
      <c r="D138" s="52"/>
      <c r="E138" s="52"/>
      <c r="F138" s="52"/>
      <c r="G138" s="52"/>
      <c r="H138" s="52"/>
      <c r="I138" s="52"/>
      <c r="J138" s="52"/>
      <c r="K138" s="52"/>
      <c r="L138" s="52"/>
      <c r="N138" s="29">
        <f>AVERAGE(D135:L137)</f>
        <v>5</v>
      </c>
      <c r="O138" s="29"/>
      <c r="P138" s="30">
        <f>ROUNDDOWN(N138, 0)</f>
        <v>5</v>
      </c>
    </row>
    <row r="139" spans="1:17" ht="22.5" thickBot="1" x14ac:dyDescent="0.4">
      <c r="A139" s="41"/>
      <c r="B139" s="41"/>
      <c r="C139" s="22" t="s">
        <v>115</v>
      </c>
      <c r="D139" s="23" t="s">
        <v>116</v>
      </c>
      <c r="E139" s="23">
        <v>5</v>
      </c>
      <c r="F139" s="23">
        <v>4</v>
      </c>
      <c r="G139" s="23">
        <v>4</v>
      </c>
      <c r="H139" s="23">
        <v>5</v>
      </c>
      <c r="I139" s="23">
        <v>5</v>
      </c>
      <c r="J139" s="23">
        <v>4</v>
      </c>
      <c r="K139" s="23">
        <v>4</v>
      </c>
      <c r="L139" s="23">
        <v>4</v>
      </c>
      <c r="M139" s="25" t="str">
        <f t="shared" ref="M139:M145" si="46">IF(MIN(D139:L139)=5, "Отличник", IF(MIN(D139:L139)&gt;=4, "Хорошист", IF(MIN(D139:L139)=3, "Троечник", "Двоечник")))</f>
        <v>Хорошист</v>
      </c>
      <c r="N139" s="25" t="str">
        <f t="shared" ref="N139:N145" si="47">IF(MIN(D139:L139)=5, "5", IF(MIN(D139:L139)&gt;=4, "4", IF(MIN(D139:L139)=3, "3")))</f>
        <v>4</v>
      </c>
    </row>
    <row r="140" spans="1:17" ht="22.5" thickBot="1" x14ac:dyDescent="0.4">
      <c r="A140" s="41"/>
      <c r="B140" s="41"/>
      <c r="C140" s="22" t="s">
        <v>117</v>
      </c>
      <c r="D140" s="23">
        <v>5</v>
      </c>
      <c r="E140" s="23">
        <v>5</v>
      </c>
      <c r="F140" s="23">
        <v>4</v>
      </c>
      <c r="G140" s="23">
        <v>5</v>
      </c>
      <c r="H140" s="23">
        <v>5</v>
      </c>
      <c r="I140" s="23">
        <v>5</v>
      </c>
      <c r="J140" s="23">
        <v>5</v>
      </c>
      <c r="K140" s="23">
        <v>4</v>
      </c>
      <c r="L140" s="23">
        <v>4</v>
      </c>
      <c r="M140" s="25" t="str">
        <f t="shared" si="46"/>
        <v>Хорошист</v>
      </c>
      <c r="N140" s="25" t="str">
        <f t="shared" si="47"/>
        <v>4</v>
      </c>
      <c r="O140" s="46" t="str">
        <f>IF(OR(N140&lt;N139,AND(N140&lt;=3,N140&lt;=3)),"Ынта төмендеді","Ынта тұрақты")</f>
        <v>Ынта тұрақты</v>
      </c>
    </row>
    <row r="141" spans="1:17" ht="22.5" thickBot="1" x14ac:dyDescent="0.4">
      <c r="A141" s="41"/>
      <c r="B141" s="41"/>
      <c r="C141" s="22" t="s">
        <v>118</v>
      </c>
      <c r="D141" s="23" t="s">
        <v>116</v>
      </c>
      <c r="E141" s="23">
        <v>5</v>
      </c>
      <c r="F141" s="23">
        <v>5</v>
      </c>
      <c r="G141" s="23">
        <v>5</v>
      </c>
      <c r="H141" s="23">
        <v>5</v>
      </c>
      <c r="I141" s="23">
        <v>5</v>
      </c>
      <c r="J141" s="23">
        <v>5</v>
      </c>
      <c r="K141" s="23">
        <v>5</v>
      </c>
      <c r="L141" s="23">
        <v>5</v>
      </c>
      <c r="M141" s="25" t="str">
        <f t="shared" si="46"/>
        <v>Отличник</v>
      </c>
      <c r="N141" s="25" t="str">
        <f t="shared" si="47"/>
        <v>5</v>
      </c>
      <c r="O141" s="46" t="str">
        <f t="shared" ref="O141:O145" si="48">IF(OR(N141&lt;N140,AND(N141&lt;=3,N141&lt;=3)),"Ынта төмендеді","Ынта тұрақты")</f>
        <v>Ынта тұрақты</v>
      </c>
    </row>
    <row r="142" spans="1:17" ht="22.5" thickBot="1" x14ac:dyDescent="0.4">
      <c r="A142" s="41"/>
      <c r="B142" s="41"/>
      <c r="C142" s="22" t="s">
        <v>119</v>
      </c>
      <c r="D142" s="23">
        <v>5</v>
      </c>
      <c r="E142" s="23">
        <v>5</v>
      </c>
      <c r="F142" s="23">
        <v>5</v>
      </c>
      <c r="G142" s="23">
        <v>5</v>
      </c>
      <c r="H142" s="23">
        <v>5</v>
      </c>
      <c r="I142" s="23">
        <v>4</v>
      </c>
      <c r="J142" s="23">
        <v>5</v>
      </c>
      <c r="K142" s="23">
        <v>5</v>
      </c>
      <c r="L142" s="23">
        <v>5</v>
      </c>
      <c r="M142" s="25" t="str">
        <f t="shared" si="46"/>
        <v>Хорошист</v>
      </c>
      <c r="N142" s="25" t="str">
        <f t="shared" si="47"/>
        <v>4</v>
      </c>
      <c r="O142" s="46" t="str">
        <f t="shared" si="48"/>
        <v>Ынта төмендеді</v>
      </c>
    </row>
    <row r="143" spans="1:17" ht="22.5" thickBot="1" x14ac:dyDescent="0.4">
      <c r="A143" s="41"/>
      <c r="B143" s="41"/>
      <c r="C143" s="22" t="s">
        <v>120</v>
      </c>
      <c r="D143" s="23">
        <v>5</v>
      </c>
      <c r="E143" s="23">
        <v>5</v>
      </c>
      <c r="F143" s="23">
        <v>5</v>
      </c>
      <c r="G143" s="23">
        <v>5</v>
      </c>
      <c r="H143" s="23">
        <v>5</v>
      </c>
      <c r="I143" s="23">
        <v>5</v>
      </c>
      <c r="J143" s="23">
        <v>5</v>
      </c>
      <c r="K143" s="23">
        <v>5</v>
      </c>
      <c r="L143" s="23">
        <v>5</v>
      </c>
      <c r="M143" s="25" t="str">
        <f t="shared" si="46"/>
        <v>Отличник</v>
      </c>
      <c r="N143" s="25" t="str">
        <f t="shared" si="47"/>
        <v>5</v>
      </c>
      <c r="O143" s="46" t="str">
        <f t="shared" si="48"/>
        <v>Ынта тұрақты</v>
      </c>
      <c r="Q143" s="48" t="str">
        <f>IF(N140&lt;N139, "2-тоқсанда ынта төмендеді", IF(N141&lt;N140, "3-тоқсанда ынта төмендеді", IF(N142&lt;N141, "4-тоқсанда ынта төмендеді", "Төмендеу жоқ")))</f>
        <v>4-тоқсанда ынта төмендеді</v>
      </c>
    </row>
    <row r="144" spans="1:17" ht="22.5" thickBot="1" x14ac:dyDescent="0.4">
      <c r="A144" s="41"/>
      <c r="B144" s="41"/>
      <c r="C144" s="22" t="s">
        <v>121</v>
      </c>
      <c r="D144" s="23" t="s">
        <v>116</v>
      </c>
      <c r="E144" s="23" t="s">
        <v>116</v>
      </c>
      <c r="F144" s="23" t="s">
        <v>116</v>
      </c>
      <c r="G144" s="23" t="s">
        <v>116</v>
      </c>
      <c r="H144" s="23">
        <v>5</v>
      </c>
      <c r="I144" s="23" t="s">
        <v>116</v>
      </c>
      <c r="J144" s="23" t="s">
        <v>116</v>
      </c>
      <c r="K144" s="23" t="s">
        <v>116</v>
      </c>
      <c r="L144" s="23" t="s">
        <v>116</v>
      </c>
      <c r="M144" s="25" t="str">
        <f t="shared" si="46"/>
        <v>Отличник</v>
      </c>
      <c r="N144" s="25" t="str">
        <f t="shared" si="47"/>
        <v>5</v>
      </c>
      <c r="O144" s="46" t="str">
        <f t="shared" si="48"/>
        <v>Ынта тұрақты</v>
      </c>
    </row>
    <row r="145" spans="1:17" ht="22.5" thickBot="1" x14ac:dyDescent="0.4">
      <c r="A145" s="42"/>
      <c r="B145" s="42"/>
      <c r="C145" s="22" t="s">
        <v>122</v>
      </c>
      <c r="D145" s="23" t="s">
        <v>116</v>
      </c>
      <c r="E145" s="23" t="s">
        <v>116</v>
      </c>
      <c r="F145" s="23" t="s">
        <v>116</v>
      </c>
      <c r="G145" s="23" t="s">
        <v>116</v>
      </c>
      <c r="H145" s="23">
        <v>5</v>
      </c>
      <c r="I145" s="23" t="s">
        <v>116</v>
      </c>
      <c r="J145" s="23" t="s">
        <v>116</v>
      </c>
      <c r="K145" s="23" t="s">
        <v>116</v>
      </c>
      <c r="L145" s="23" t="s">
        <v>116</v>
      </c>
      <c r="M145" s="25" t="str">
        <f t="shared" si="46"/>
        <v>Отличник</v>
      </c>
      <c r="N145" s="25" t="str">
        <f t="shared" si="47"/>
        <v>5</v>
      </c>
      <c r="O145" s="46" t="str">
        <f t="shared" si="48"/>
        <v>Ынта тұрақты</v>
      </c>
    </row>
    <row r="146" spans="1:17" ht="36.75" customHeight="1" thickBot="1" x14ac:dyDescent="0.4">
      <c r="A146" s="40">
        <v>18</v>
      </c>
      <c r="B146" s="40" t="s">
        <v>139</v>
      </c>
      <c r="C146" s="51" t="str">
        <f>IF(O140:O146="Ынта төмендеді","1. Жеке тапсырма беру; 2. Практикалық мысалдар келтіру; 3. Шағын мақсаттар қою; 4. Оқушының пікірін сұрау; 5. Ойын элементтерін қосу",
IF(AND(N143&gt;3, N145&gt;3), "1. Базалық білімді қалпына келтіру; 2. Қосымша сабақтар; 3. Жеңіл тапсырмалар арқылы сәттілік сезімін ояту; 4. Ата-анамен байланыс; 5. Пәнді өмірмен байланыстыру",
 "Ынта қалыпты, ынталандыруды жалғастыру"))</f>
        <v>1. Базалық білімді қалпына келтіру; 2. Қосымша сабақтар; 3. Жеңіл тапсырмалар арқылы сәттілік сезімін ояту; 4. Ата-анамен байланыс; 5. Пәнді өмірмен байланыстыру</v>
      </c>
      <c r="D146" s="52"/>
      <c r="E146" s="52"/>
      <c r="F146" s="52"/>
      <c r="G146" s="52"/>
      <c r="H146" s="52"/>
      <c r="I146" s="52"/>
      <c r="J146" s="52"/>
      <c r="K146" s="52"/>
      <c r="L146" s="52"/>
      <c r="N146" s="29">
        <f>AVERAGE(D143:L145)</f>
        <v>5</v>
      </c>
      <c r="O146" s="29"/>
      <c r="P146" s="30">
        <f>ROUNDDOWN(N146, 0)</f>
        <v>5</v>
      </c>
    </row>
    <row r="147" spans="1:17" ht="22.5" thickBot="1" x14ac:dyDescent="0.4">
      <c r="A147" s="41"/>
      <c r="B147" s="41"/>
      <c r="C147" s="22" t="s">
        <v>115</v>
      </c>
      <c r="D147" s="23" t="s">
        <v>116</v>
      </c>
      <c r="E147" s="23" t="s">
        <v>116</v>
      </c>
      <c r="F147" s="23" t="s">
        <v>116</v>
      </c>
      <c r="G147" s="23" t="s">
        <v>116</v>
      </c>
      <c r="H147" s="23" t="s">
        <v>116</v>
      </c>
      <c r="I147" s="23" t="s">
        <v>116</v>
      </c>
      <c r="J147" s="23" t="s">
        <v>116</v>
      </c>
      <c r="K147" s="23" t="s">
        <v>116</v>
      </c>
      <c r="L147" s="23" t="s">
        <v>116</v>
      </c>
    </row>
    <row r="148" spans="1:17" ht="22.5" thickBot="1" x14ac:dyDescent="0.4">
      <c r="A148" s="41"/>
      <c r="B148" s="41"/>
      <c r="C148" s="22" t="s">
        <v>117</v>
      </c>
      <c r="D148" s="23" t="s">
        <v>116</v>
      </c>
      <c r="E148" s="23" t="s">
        <v>116</v>
      </c>
      <c r="F148" s="23" t="s">
        <v>116</v>
      </c>
      <c r="G148" s="23" t="s">
        <v>116</v>
      </c>
      <c r="H148" s="23" t="s">
        <v>116</v>
      </c>
      <c r="I148" s="23" t="s">
        <v>116</v>
      </c>
      <c r="J148" s="23" t="s">
        <v>116</v>
      </c>
      <c r="K148" s="23" t="s">
        <v>116</v>
      </c>
      <c r="L148" s="23" t="s">
        <v>116</v>
      </c>
      <c r="O148" s="46" t="str">
        <f>IF(OR(N148&lt;N147,AND(N148&lt;=3,N148&lt;=3)),"Ынта төмендеді","Ынта тұрақты")</f>
        <v>Ынта төмендеді</v>
      </c>
    </row>
    <row r="149" spans="1:17" ht="22.5" thickBot="1" x14ac:dyDescent="0.4">
      <c r="A149" s="41"/>
      <c r="B149" s="41"/>
      <c r="C149" s="22" t="s">
        <v>118</v>
      </c>
      <c r="D149" s="23" t="s">
        <v>116</v>
      </c>
      <c r="E149" s="23" t="s">
        <v>116</v>
      </c>
      <c r="F149" s="23" t="s">
        <v>116</v>
      </c>
      <c r="G149" s="23" t="s">
        <v>116</v>
      </c>
      <c r="H149" s="23" t="s">
        <v>116</v>
      </c>
      <c r="I149" s="23" t="s">
        <v>116</v>
      </c>
      <c r="J149" s="23" t="s">
        <v>116</v>
      </c>
      <c r="K149" s="23" t="s">
        <v>116</v>
      </c>
      <c r="L149" s="23" t="s">
        <v>116</v>
      </c>
      <c r="O149" s="46" t="str">
        <f t="shared" ref="O149:O153" si="49">IF(OR(N149&lt;N148,AND(N149&lt;=3,N149&lt;=3)),"Ынта төмендеді","Ынта тұрақты")</f>
        <v>Ынта төмендеді</v>
      </c>
    </row>
    <row r="150" spans="1:17" ht="22.5" thickBot="1" x14ac:dyDescent="0.4">
      <c r="A150" s="41"/>
      <c r="B150" s="41"/>
      <c r="C150" s="22" t="s">
        <v>119</v>
      </c>
      <c r="D150" s="23">
        <v>5</v>
      </c>
      <c r="E150" s="23">
        <v>5</v>
      </c>
      <c r="F150" s="23">
        <v>5</v>
      </c>
      <c r="G150" s="23">
        <v>5</v>
      </c>
      <c r="H150" s="23">
        <v>5</v>
      </c>
      <c r="I150" s="23">
        <v>5</v>
      </c>
      <c r="J150" s="23">
        <v>5</v>
      </c>
      <c r="K150" s="23">
        <v>5</v>
      </c>
      <c r="L150" s="23">
        <v>5</v>
      </c>
      <c r="M150" s="25" t="str">
        <f>IF(MIN(D150:L150)=5, "Отличник", IF(MIN(D150:L150)&gt;=4, "Хорошист", IF(MIN(D150:L150)=3, "Троечник", "Двоечник")))</f>
        <v>Отличник</v>
      </c>
      <c r="N150" s="25" t="str">
        <f>IF(MIN(D150:L150)=5, "5", IF(MIN(D150:L150)&gt;=4, "4", IF(MIN(D150:L150)=3, "3")))</f>
        <v>5</v>
      </c>
      <c r="O150" s="46" t="str">
        <f t="shared" si="49"/>
        <v>Ынта тұрақты</v>
      </c>
    </row>
    <row r="151" spans="1:17" ht="22.5" thickBot="1" x14ac:dyDescent="0.4">
      <c r="A151" s="41"/>
      <c r="B151" s="41"/>
      <c r="C151" s="22" t="s">
        <v>120</v>
      </c>
      <c r="D151" s="23">
        <v>5</v>
      </c>
      <c r="E151" s="23">
        <v>5</v>
      </c>
      <c r="F151" s="23">
        <v>5</v>
      </c>
      <c r="G151" s="23">
        <v>5</v>
      </c>
      <c r="H151" s="23">
        <v>5</v>
      </c>
      <c r="I151" s="23">
        <v>5</v>
      </c>
      <c r="J151" s="23">
        <v>5</v>
      </c>
      <c r="K151" s="23">
        <v>5</v>
      </c>
      <c r="L151" s="23">
        <v>5</v>
      </c>
      <c r="M151" s="25" t="str">
        <f>IF(MIN(D151:L151)=5, "Отличник", IF(MIN(D151:L151)&gt;=4, "Хорошист", IF(MIN(D151:L151)=3, "Троечник", "Двоечник")))</f>
        <v>Отличник</v>
      </c>
      <c r="N151" s="25" t="str">
        <f>IF(MIN(D151:L151)=5, "5", IF(MIN(D151:L151)&gt;=4, "4", IF(MIN(D151:L151)=3, "3")))</f>
        <v>5</v>
      </c>
      <c r="O151" s="46" t="str">
        <f t="shared" si="49"/>
        <v>Ынта тұрақты</v>
      </c>
      <c r="Q151" s="48" t="str">
        <f>IF(N148&lt;N147, "2-тоқсанда ынта төмендеді", IF(N149&lt;N148, "3-тоқсанда ынта төмендеді", IF(N150&lt;N149, "4-тоқсанда ынта төмендеді", "Төмендеу жоқ")))</f>
        <v>Төмендеу жоқ</v>
      </c>
    </row>
    <row r="152" spans="1:17" ht="22.5" thickBot="1" x14ac:dyDescent="0.4">
      <c r="A152" s="41"/>
      <c r="B152" s="41"/>
      <c r="C152" s="22" t="s">
        <v>121</v>
      </c>
      <c r="D152" s="23" t="s">
        <v>116</v>
      </c>
      <c r="E152" s="23" t="s">
        <v>116</v>
      </c>
      <c r="F152" s="23" t="s">
        <v>116</v>
      </c>
      <c r="G152" s="23" t="s">
        <v>116</v>
      </c>
      <c r="H152" s="23">
        <v>5</v>
      </c>
      <c r="I152" s="23" t="s">
        <v>116</v>
      </c>
      <c r="J152" s="23" t="s">
        <v>116</v>
      </c>
      <c r="K152" s="23" t="s">
        <v>116</v>
      </c>
      <c r="L152" s="23" t="s">
        <v>116</v>
      </c>
      <c r="M152" s="25" t="str">
        <f>IF(MIN(D152:L152)=5, "Отличник", IF(MIN(D152:L152)&gt;=4, "Хорошист", IF(MIN(D152:L152)=3, "Троечник", "Двоечник")))</f>
        <v>Отличник</v>
      </c>
      <c r="N152" s="25" t="str">
        <f>IF(MIN(D152:L152)=5, "5", IF(MIN(D152:L152)&gt;=4, "4", IF(MIN(D152:L152)=3, "3")))</f>
        <v>5</v>
      </c>
      <c r="O152" s="46" t="str">
        <f t="shared" si="49"/>
        <v>Ынта тұрақты</v>
      </c>
    </row>
    <row r="153" spans="1:17" ht="22.5" thickBot="1" x14ac:dyDescent="0.4">
      <c r="A153" s="42"/>
      <c r="B153" s="42"/>
      <c r="C153" s="22" t="s">
        <v>122</v>
      </c>
      <c r="D153" s="23" t="s">
        <v>116</v>
      </c>
      <c r="E153" s="23" t="s">
        <v>116</v>
      </c>
      <c r="F153" s="23" t="s">
        <v>116</v>
      </c>
      <c r="G153" s="23" t="s">
        <v>116</v>
      </c>
      <c r="H153" s="23">
        <v>5</v>
      </c>
      <c r="I153" s="23" t="s">
        <v>116</v>
      </c>
      <c r="J153" s="23" t="s">
        <v>116</v>
      </c>
      <c r="K153" s="23" t="s">
        <v>116</v>
      </c>
      <c r="L153" s="23" t="s">
        <v>116</v>
      </c>
      <c r="M153" s="25" t="str">
        <f>IF(MIN(D153:L153)=5, "Отличник", IF(MIN(D153:L153)&gt;=4, "Хорошист", IF(MIN(D153:L153)=3, "Троечник", "Двоечник")))</f>
        <v>Отличник</v>
      </c>
      <c r="N153" s="25" t="str">
        <f>IF(MIN(D153:L153)=5, "5", IF(MIN(D153:L153)&gt;=4, "4", IF(MIN(D153:L153)=3, "3")))</f>
        <v>5</v>
      </c>
      <c r="O153" s="46" t="str">
        <f t="shared" si="49"/>
        <v>Ынта тұрақты</v>
      </c>
    </row>
    <row r="154" spans="1:17" ht="35.25" customHeight="1" thickBot="1" x14ac:dyDescent="0.4">
      <c r="A154" s="40">
        <v>19</v>
      </c>
      <c r="B154" s="40" t="s">
        <v>140</v>
      </c>
      <c r="C154" s="51" t="str">
        <f>IF(O148:O154="Ынта төмендеді","1. Жеке тапсырма беру; 2. Практикалық мысалдар келтіру; 3. Шағын мақсаттар қою; 4. Оқушының пікірін сұрау; 5. Ойын элементтерін қосу",
IF(AND(N151&gt;3, N153&gt;3), "1. Базалық білімді қалпына келтіру; 2. Қосымша сабақтар; 3. Жеңіл тапсырмалар арқылы сәттілік сезімін ояту; 4. Ата-анамен байланыс; 5. Пәнді өмірмен байланыстыру",
 "Ынта қалыпты, ынталандыруды жалғастыру"))</f>
        <v>1. Базалық білімді қалпына келтіру; 2. Қосымша сабақтар; 3. Жеңіл тапсырмалар арқылы сәттілік сезімін ояту; 4. Ата-анамен байланыс; 5. Пәнді өмірмен байланыстыру</v>
      </c>
      <c r="D154" s="52"/>
      <c r="E154" s="52"/>
      <c r="F154" s="52"/>
      <c r="G154" s="52"/>
      <c r="H154" s="52"/>
      <c r="I154" s="52"/>
      <c r="J154" s="52"/>
      <c r="K154" s="52"/>
      <c r="L154" s="52"/>
      <c r="N154" s="29">
        <f>AVERAGE(D151:L153)</f>
        <v>5</v>
      </c>
      <c r="O154" s="29"/>
      <c r="P154" s="30">
        <f>ROUNDDOWN(N154, 0)</f>
        <v>5</v>
      </c>
    </row>
    <row r="155" spans="1:17" ht="22.5" thickBot="1" x14ac:dyDescent="0.4">
      <c r="A155" s="41"/>
      <c r="B155" s="41"/>
      <c r="C155" s="22" t="s">
        <v>115</v>
      </c>
      <c r="D155" s="23" t="s">
        <v>116</v>
      </c>
      <c r="E155" s="23">
        <v>5</v>
      </c>
      <c r="F155" s="23">
        <v>5</v>
      </c>
      <c r="G155" s="23">
        <v>5</v>
      </c>
      <c r="H155" s="23">
        <v>5</v>
      </c>
      <c r="I155" s="23">
        <v>5</v>
      </c>
      <c r="J155" s="23">
        <v>5</v>
      </c>
      <c r="K155" s="23">
        <v>5</v>
      </c>
      <c r="L155" s="23">
        <v>5</v>
      </c>
      <c r="M155" s="25" t="str">
        <f t="shared" ref="M155:M161" si="50">IF(MIN(D155:L155)=5, "Отличник", IF(MIN(D155:L155)&gt;=4, "Хорошист", IF(MIN(D155:L155)=3, "Троечник", "Двоечник")))</f>
        <v>Отличник</v>
      </c>
      <c r="N155" s="25" t="str">
        <f t="shared" ref="N155:N161" si="51">IF(MIN(D155:L155)=5, "5", IF(MIN(D155:L155)&gt;=4, "4", IF(MIN(D155:L155)=3, "3")))</f>
        <v>5</v>
      </c>
    </row>
    <row r="156" spans="1:17" ht="22.5" thickBot="1" x14ac:dyDescent="0.4">
      <c r="A156" s="41"/>
      <c r="B156" s="41"/>
      <c r="C156" s="22" t="s">
        <v>117</v>
      </c>
      <c r="D156" s="23">
        <v>5</v>
      </c>
      <c r="E156" s="23">
        <v>5</v>
      </c>
      <c r="F156" s="23">
        <v>5</v>
      </c>
      <c r="G156" s="23">
        <v>5</v>
      </c>
      <c r="H156" s="23">
        <v>5</v>
      </c>
      <c r="I156" s="23">
        <v>5</v>
      </c>
      <c r="J156" s="23">
        <v>5</v>
      </c>
      <c r="K156" s="23">
        <v>5</v>
      </c>
      <c r="L156" s="23">
        <v>5</v>
      </c>
      <c r="M156" s="25" t="str">
        <f t="shared" si="50"/>
        <v>Отличник</v>
      </c>
      <c r="N156" s="25" t="str">
        <f t="shared" si="51"/>
        <v>5</v>
      </c>
      <c r="O156" s="46" t="str">
        <f>IF(OR(N156&lt;N155,AND(N156&lt;=3,N156&lt;=3)),"Ынта төмендеді","Ынта тұрақты")</f>
        <v>Ынта тұрақты</v>
      </c>
    </row>
    <row r="157" spans="1:17" ht="22.5" thickBot="1" x14ac:dyDescent="0.4">
      <c r="A157" s="41"/>
      <c r="B157" s="41"/>
      <c r="C157" s="22" t="s">
        <v>118</v>
      </c>
      <c r="D157" s="23" t="s">
        <v>116</v>
      </c>
      <c r="E157" s="23">
        <v>5</v>
      </c>
      <c r="F157" s="23">
        <v>5</v>
      </c>
      <c r="G157" s="23">
        <v>5</v>
      </c>
      <c r="H157" s="23">
        <v>5</v>
      </c>
      <c r="I157" s="23">
        <v>5</v>
      </c>
      <c r="J157" s="23">
        <v>5</v>
      </c>
      <c r="K157" s="23">
        <v>5</v>
      </c>
      <c r="L157" s="23">
        <v>5</v>
      </c>
      <c r="M157" s="25" t="str">
        <f t="shared" si="50"/>
        <v>Отличник</v>
      </c>
      <c r="N157" s="25" t="str">
        <f t="shared" si="51"/>
        <v>5</v>
      </c>
      <c r="O157" s="46" t="str">
        <f t="shared" ref="O157:O161" si="52">IF(OR(N157&lt;N156,AND(N157&lt;=3,N157&lt;=3)),"Ынта төмендеді","Ынта тұрақты")</f>
        <v>Ынта тұрақты</v>
      </c>
    </row>
    <row r="158" spans="1:17" ht="22.5" thickBot="1" x14ac:dyDescent="0.4">
      <c r="A158" s="41"/>
      <c r="B158" s="41"/>
      <c r="C158" s="22" t="s">
        <v>119</v>
      </c>
      <c r="D158" s="23">
        <v>5</v>
      </c>
      <c r="E158" s="23">
        <v>5</v>
      </c>
      <c r="F158" s="23">
        <v>5</v>
      </c>
      <c r="G158" s="23">
        <v>5</v>
      </c>
      <c r="H158" s="23">
        <v>5</v>
      </c>
      <c r="I158" s="23">
        <v>4</v>
      </c>
      <c r="J158" s="23">
        <v>5</v>
      </c>
      <c r="K158" s="23">
        <v>5</v>
      </c>
      <c r="L158" s="23">
        <v>5</v>
      </c>
      <c r="M158" s="25" t="str">
        <f t="shared" si="50"/>
        <v>Хорошист</v>
      </c>
      <c r="N158" s="25" t="str">
        <f t="shared" si="51"/>
        <v>4</v>
      </c>
      <c r="O158" s="46" t="str">
        <f t="shared" si="52"/>
        <v>Ынта төмендеді</v>
      </c>
    </row>
    <row r="159" spans="1:17" ht="22.5" thickBot="1" x14ac:dyDescent="0.4">
      <c r="A159" s="41"/>
      <c r="B159" s="41"/>
      <c r="C159" s="22" t="s">
        <v>120</v>
      </c>
      <c r="D159" s="23">
        <v>5</v>
      </c>
      <c r="E159" s="23">
        <v>5</v>
      </c>
      <c r="F159" s="23">
        <v>5</v>
      </c>
      <c r="G159" s="23">
        <v>5</v>
      </c>
      <c r="H159" s="23">
        <v>5</v>
      </c>
      <c r="I159" s="23">
        <v>5</v>
      </c>
      <c r="J159" s="23">
        <v>5</v>
      </c>
      <c r="K159" s="23">
        <v>5</v>
      </c>
      <c r="L159" s="23">
        <v>5</v>
      </c>
      <c r="M159" s="25" t="str">
        <f t="shared" si="50"/>
        <v>Отличник</v>
      </c>
      <c r="N159" s="25" t="str">
        <f t="shared" si="51"/>
        <v>5</v>
      </c>
      <c r="O159" s="46" t="str">
        <f t="shared" si="52"/>
        <v>Ынта тұрақты</v>
      </c>
      <c r="Q159" s="48" t="str">
        <f>IF(N156&lt;N155, "2-тоқсанда ынта төмендеді", IF(N157&lt;N156, "3-тоқсанда ынта төмендеді", IF(N158&lt;N157, "4-тоқсанда ынта төмендеді", "Төмендеу жоқ")))</f>
        <v>4-тоқсанда ынта төмендеді</v>
      </c>
    </row>
    <row r="160" spans="1:17" ht="22.5" thickBot="1" x14ac:dyDescent="0.4">
      <c r="A160" s="41"/>
      <c r="B160" s="41"/>
      <c r="C160" s="22" t="s">
        <v>121</v>
      </c>
      <c r="D160" s="23" t="s">
        <v>116</v>
      </c>
      <c r="E160" s="23" t="s">
        <v>116</v>
      </c>
      <c r="F160" s="23" t="s">
        <v>116</v>
      </c>
      <c r="G160" s="23" t="s">
        <v>116</v>
      </c>
      <c r="H160" s="23">
        <v>5</v>
      </c>
      <c r="I160" s="23" t="s">
        <v>116</v>
      </c>
      <c r="J160" s="23" t="s">
        <v>116</v>
      </c>
      <c r="K160" s="23" t="s">
        <v>116</v>
      </c>
      <c r="L160" s="23" t="s">
        <v>116</v>
      </c>
      <c r="M160" s="25" t="str">
        <f t="shared" si="50"/>
        <v>Отличник</v>
      </c>
      <c r="N160" s="25" t="str">
        <f t="shared" si="51"/>
        <v>5</v>
      </c>
      <c r="O160" s="46" t="str">
        <f t="shared" si="52"/>
        <v>Ынта тұрақты</v>
      </c>
    </row>
    <row r="161" spans="1:17" ht="22.5" thickBot="1" x14ac:dyDescent="0.4">
      <c r="A161" s="42"/>
      <c r="B161" s="42"/>
      <c r="C161" s="22" t="s">
        <v>122</v>
      </c>
      <c r="D161" s="23" t="s">
        <v>116</v>
      </c>
      <c r="E161" s="23" t="s">
        <v>116</v>
      </c>
      <c r="F161" s="23" t="s">
        <v>116</v>
      </c>
      <c r="G161" s="23" t="s">
        <v>116</v>
      </c>
      <c r="H161" s="23">
        <v>5</v>
      </c>
      <c r="I161" s="23" t="s">
        <v>116</v>
      </c>
      <c r="J161" s="23" t="s">
        <v>116</v>
      </c>
      <c r="K161" s="23" t="s">
        <v>116</v>
      </c>
      <c r="L161" s="23" t="s">
        <v>116</v>
      </c>
      <c r="M161" s="25" t="str">
        <f t="shared" si="50"/>
        <v>Отличник</v>
      </c>
      <c r="N161" s="25" t="str">
        <f t="shared" si="51"/>
        <v>5</v>
      </c>
      <c r="O161" s="46" t="str">
        <f t="shared" si="52"/>
        <v>Ынта тұрақты</v>
      </c>
    </row>
    <row r="162" spans="1:17" ht="45" customHeight="1" thickBot="1" x14ac:dyDescent="0.4">
      <c r="A162" s="40">
        <v>20</v>
      </c>
      <c r="B162" s="40" t="s">
        <v>141</v>
      </c>
      <c r="C162" s="51" t="str">
        <f>IF(O156:O162="Ынта төмендеді","1. Жеке тапсырма беру; 2. Практикалық мысалдар келтіру; 3. Шағын мақсаттар қою; 4. Оқушының пікірін сұрау; 5. Ойын элементтерін қосу",
IF(AND(N159&gt;3, N161&gt;3), "1. Базалық білімді қалпына келтіру; 2. Қосымша сабақтар; 3. Жеңіл тапсырмалар арқылы сәттілік сезімін ояту; 4. Ата-анамен байланыс; 5. Пәнді өмірмен байланыстыру",
 "Ынта қалыпты, ынталандыруды жалғастыру"))</f>
        <v>1. Базалық білімді қалпына келтіру; 2. Қосымша сабақтар; 3. Жеңіл тапсырмалар арқылы сәттілік сезімін ояту; 4. Ата-анамен байланыс; 5. Пәнді өмірмен байланыстыру</v>
      </c>
      <c r="D162" s="52"/>
      <c r="E162" s="52"/>
      <c r="F162" s="52"/>
      <c r="G162" s="52"/>
      <c r="H162" s="52"/>
      <c r="I162" s="52"/>
      <c r="J162" s="52"/>
      <c r="K162" s="52"/>
      <c r="L162" s="52"/>
      <c r="N162" s="29">
        <f>AVERAGE(D159:L161)</f>
        <v>5</v>
      </c>
      <c r="O162" s="29"/>
      <c r="P162" s="30">
        <f>ROUNDDOWN(N162, 0)</f>
        <v>5</v>
      </c>
    </row>
    <row r="163" spans="1:17" ht="22.5" thickBot="1" x14ac:dyDescent="0.4">
      <c r="A163" s="41"/>
      <c r="B163" s="41"/>
      <c r="C163" s="22" t="s">
        <v>115</v>
      </c>
      <c r="D163" s="23" t="s">
        <v>116</v>
      </c>
      <c r="E163" s="23">
        <v>4</v>
      </c>
      <c r="F163" s="23">
        <v>5</v>
      </c>
      <c r="G163" s="23">
        <v>4</v>
      </c>
      <c r="H163" s="23">
        <v>5</v>
      </c>
      <c r="I163" s="23">
        <v>4</v>
      </c>
      <c r="J163" s="23">
        <v>3</v>
      </c>
      <c r="K163" s="23">
        <v>4</v>
      </c>
      <c r="L163" s="23">
        <v>4</v>
      </c>
      <c r="M163" s="25" t="str">
        <f t="shared" ref="M163:M169" si="53">IF(MIN(D163:L163)=5, "Отличник", IF(MIN(D163:L163)&gt;=4, "Хорошист", IF(MIN(D163:L163)=3, "Троечник", "Двоечник")))</f>
        <v>Троечник</v>
      </c>
      <c r="N163" s="25" t="str">
        <f t="shared" ref="N163:N169" si="54">IF(MIN(D163:L163)=5, "5", IF(MIN(D163:L163)&gt;=4, "4", IF(MIN(D163:L163)=3, "3")))</f>
        <v>3</v>
      </c>
    </row>
    <row r="164" spans="1:17" ht="22.5" thickBot="1" x14ac:dyDescent="0.4">
      <c r="A164" s="41"/>
      <c r="B164" s="41"/>
      <c r="C164" s="22" t="s">
        <v>117</v>
      </c>
      <c r="D164" s="23">
        <v>4</v>
      </c>
      <c r="E164" s="23">
        <v>5</v>
      </c>
      <c r="F164" s="23">
        <v>5</v>
      </c>
      <c r="G164" s="23">
        <v>4</v>
      </c>
      <c r="H164" s="23">
        <v>4</v>
      </c>
      <c r="I164" s="23">
        <v>4</v>
      </c>
      <c r="J164" s="23">
        <v>4</v>
      </c>
      <c r="K164" s="23">
        <v>4</v>
      </c>
      <c r="L164" s="23">
        <v>4</v>
      </c>
      <c r="M164" s="25" t="str">
        <f t="shared" si="53"/>
        <v>Хорошист</v>
      </c>
      <c r="N164" s="25" t="str">
        <f t="shared" si="54"/>
        <v>4</v>
      </c>
      <c r="O164" s="46" t="str">
        <f>IF(OR(N164&lt;N163,AND(N164&lt;=3,N164&lt;=3)),"Ынта төмендеді","Ынта тұрақты")</f>
        <v>Ынта тұрақты</v>
      </c>
    </row>
    <row r="165" spans="1:17" ht="22.5" thickBot="1" x14ac:dyDescent="0.4">
      <c r="A165" s="41"/>
      <c r="B165" s="41"/>
      <c r="C165" s="22" t="s">
        <v>118</v>
      </c>
      <c r="D165" s="23" t="s">
        <v>116</v>
      </c>
      <c r="E165" s="23">
        <v>4</v>
      </c>
      <c r="F165" s="23">
        <v>4</v>
      </c>
      <c r="G165" s="23">
        <v>5</v>
      </c>
      <c r="H165" s="23">
        <v>5</v>
      </c>
      <c r="I165" s="23">
        <v>4</v>
      </c>
      <c r="J165" s="23">
        <v>4</v>
      </c>
      <c r="K165" s="23">
        <v>4</v>
      </c>
      <c r="L165" s="23">
        <v>4</v>
      </c>
      <c r="M165" s="25" t="str">
        <f t="shared" si="53"/>
        <v>Хорошист</v>
      </c>
      <c r="N165" s="25" t="str">
        <f t="shared" si="54"/>
        <v>4</v>
      </c>
      <c r="O165" s="46" t="str">
        <f t="shared" ref="O165:O169" si="55">IF(OR(N165&lt;N164,AND(N165&lt;=3,N165&lt;=3)),"Ынта төмендеді","Ынта тұрақты")</f>
        <v>Ынта тұрақты</v>
      </c>
    </row>
    <row r="166" spans="1:17" ht="22.5" thickBot="1" x14ac:dyDescent="0.4">
      <c r="A166" s="41"/>
      <c r="B166" s="41"/>
      <c r="C166" s="22" t="s">
        <v>119</v>
      </c>
      <c r="D166" s="23">
        <v>4</v>
      </c>
      <c r="E166" s="23">
        <v>4</v>
      </c>
      <c r="F166" s="23">
        <v>5</v>
      </c>
      <c r="G166" s="23">
        <v>5</v>
      </c>
      <c r="H166" s="23">
        <v>4</v>
      </c>
      <c r="I166" s="23">
        <v>4</v>
      </c>
      <c r="J166" s="23">
        <v>4</v>
      </c>
      <c r="K166" s="23">
        <v>4</v>
      </c>
      <c r="L166" s="23">
        <v>4</v>
      </c>
      <c r="M166" s="25" t="str">
        <f t="shared" si="53"/>
        <v>Хорошист</v>
      </c>
      <c r="N166" s="25" t="str">
        <f t="shared" si="54"/>
        <v>4</v>
      </c>
      <c r="O166" s="46" t="str">
        <f t="shared" si="55"/>
        <v>Ынта тұрақты</v>
      </c>
    </row>
    <row r="167" spans="1:17" ht="22.5" thickBot="1" x14ac:dyDescent="0.4">
      <c r="A167" s="41"/>
      <c r="B167" s="41"/>
      <c r="C167" s="22" t="s">
        <v>120</v>
      </c>
      <c r="D167" s="23">
        <v>4</v>
      </c>
      <c r="E167" s="23">
        <v>4</v>
      </c>
      <c r="F167" s="23">
        <v>5</v>
      </c>
      <c r="G167" s="23">
        <v>5</v>
      </c>
      <c r="H167" s="23">
        <v>5</v>
      </c>
      <c r="I167" s="23">
        <v>4</v>
      </c>
      <c r="J167" s="23">
        <v>4</v>
      </c>
      <c r="K167" s="23">
        <v>4</v>
      </c>
      <c r="L167" s="23">
        <v>4</v>
      </c>
      <c r="M167" s="25" t="str">
        <f t="shared" si="53"/>
        <v>Хорошист</v>
      </c>
      <c r="N167" s="25" t="str">
        <f t="shared" si="54"/>
        <v>4</v>
      </c>
      <c r="O167" s="46" t="str">
        <f t="shared" si="55"/>
        <v>Ынта тұрақты</v>
      </c>
    </row>
    <row r="168" spans="1:17" ht="22.5" thickBot="1" x14ac:dyDescent="0.4">
      <c r="A168" s="41"/>
      <c r="B168" s="41"/>
      <c r="C168" s="22" t="s">
        <v>121</v>
      </c>
      <c r="D168" s="23" t="s">
        <v>116</v>
      </c>
      <c r="E168" s="23" t="s">
        <v>116</v>
      </c>
      <c r="F168" s="23" t="s">
        <v>116</v>
      </c>
      <c r="G168" s="23" t="s">
        <v>116</v>
      </c>
      <c r="H168" s="23">
        <v>5</v>
      </c>
      <c r="I168" s="23" t="s">
        <v>116</v>
      </c>
      <c r="J168" s="23" t="s">
        <v>116</v>
      </c>
      <c r="K168" s="23" t="s">
        <v>116</v>
      </c>
      <c r="L168" s="23" t="s">
        <v>116</v>
      </c>
      <c r="M168" s="25" t="str">
        <f t="shared" si="53"/>
        <v>Отличник</v>
      </c>
      <c r="N168" s="25" t="str">
        <f t="shared" si="54"/>
        <v>5</v>
      </c>
      <c r="O168" s="46" t="str">
        <f t="shared" si="55"/>
        <v>Ынта тұрақты</v>
      </c>
      <c r="Q168" s="48" t="str">
        <f>IF(N165&lt;N164, "2-тоқсанда ынта төмендеді", IF(N166&lt;N165, "3-тоқсанда ынта төмендеді", IF(N167&lt;N166, "4-тоқсанда ынта төмендеді", "Төмендеу жоқ")))</f>
        <v>Төмендеу жоқ</v>
      </c>
    </row>
    <row r="169" spans="1:17" ht="22.5" thickBot="1" x14ac:dyDescent="0.4">
      <c r="A169" s="42"/>
      <c r="B169" s="42"/>
      <c r="C169" s="22" t="s">
        <v>122</v>
      </c>
      <c r="D169" s="23" t="s">
        <v>116</v>
      </c>
      <c r="E169" s="23" t="s">
        <v>116</v>
      </c>
      <c r="F169" s="23" t="s">
        <v>116</v>
      </c>
      <c r="G169" s="23" t="s">
        <v>116</v>
      </c>
      <c r="H169" s="23">
        <v>5</v>
      </c>
      <c r="I169" s="23" t="s">
        <v>116</v>
      </c>
      <c r="J169" s="23" t="s">
        <v>116</v>
      </c>
      <c r="K169" s="23" t="s">
        <v>116</v>
      </c>
      <c r="L169" s="23" t="s">
        <v>116</v>
      </c>
      <c r="M169" s="25" t="str">
        <f t="shared" si="53"/>
        <v>Отличник</v>
      </c>
      <c r="N169" s="25" t="str">
        <f t="shared" si="54"/>
        <v>5</v>
      </c>
      <c r="O169" s="46" t="str">
        <f t="shared" si="55"/>
        <v>Ынта тұрақты</v>
      </c>
    </row>
    <row r="170" spans="1:17" ht="39.75" customHeight="1" thickBot="1" x14ac:dyDescent="0.4">
      <c r="A170" s="40">
        <v>21</v>
      </c>
      <c r="B170" s="40" t="s">
        <v>142</v>
      </c>
      <c r="C170" s="51" t="str">
        <f>IF(O164:O170="Ынта төмендеді","1. Жеке тапсырма беру; 2. Практикалық мысалдар келтіру; 3. Шағын мақсаттар қою; 4. Оқушының пікірін сұрау; 5. Ойын элементтерін қосу",
IF(AND(N167&gt;3, N169&gt;3), "1. Базалық білімді қалпына келтіру; 2. Қосымша сабақтар; 3. Жеңіл тапсырмалар арқылы сәттілік сезімін ояту; 4. Ата-анамен байланыс; 5. Пәнді өмірмен байланыстыру",
 "Ынта қалыпты, ынталандыруды жалғастыру"))</f>
        <v>1. Базалық білімді қалпына келтіру; 2. Қосымша сабақтар; 3. Жеңіл тапсырмалар арқылы сәттілік сезімін ояту; 4. Ата-анамен байланыс; 5. Пәнді өмірмен байланыстыру</v>
      </c>
      <c r="D170" s="52"/>
      <c r="E170" s="52"/>
      <c r="F170" s="52"/>
      <c r="G170" s="52"/>
      <c r="H170" s="52"/>
      <c r="I170" s="52"/>
      <c r="J170" s="52"/>
      <c r="K170" s="52"/>
      <c r="L170" s="52"/>
      <c r="N170" s="29">
        <f>AVERAGE(D167:L169)</f>
        <v>4.4545454545454541</v>
      </c>
      <c r="O170" s="29"/>
      <c r="P170" s="30">
        <f>ROUNDDOWN(N170, 0)</f>
        <v>4</v>
      </c>
    </row>
    <row r="171" spans="1:17" ht="22.5" thickBot="1" x14ac:dyDescent="0.4">
      <c r="A171" s="41"/>
      <c r="B171" s="41"/>
      <c r="C171" s="22" t="s">
        <v>115</v>
      </c>
      <c r="D171" s="23" t="s">
        <v>116</v>
      </c>
      <c r="E171" s="23">
        <v>4</v>
      </c>
      <c r="F171" s="23">
        <v>4</v>
      </c>
      <c r="G171" s="23">
        <v>4</v>
      </c>
      <c r="H171" s="23">
        <v>4</v>
      </c>
      <c r="I171" s="23">
        <v>4</v>
      </c>
      <c r="J171" s="23">
        <v>4</v>
      </c>
      <c r="K171" s="23">
        <v>5</v>
      </c>
      <c r="L171" s="23">
        <v>5</v>
      </c>
      <c r="M171" s="25" t="str">
        <f>IF(MIN(D171:L171)=5, "Отличник", IF(MIN(D171:L171)&gt;=4, "Хорошист", IF(MIN(D171:L171)=3, "Троечник", "Двоечник")))</f>
        <v>Хорошист</v>
      </c>
      <c r="N171" s="25" t="str">
        <f>IF(MIN(D171:L171)=5, "5", IF(MIN(D171:L171)&gt;=4, "4", IF(MIN(D171:L171)=3, "3")))</f>
        <v>4</v>
      </c>
    </row>
    <row r="172" spans="1:17" ht="22.5" thickBot="1" x14ac:dyDescent="0.4">
      <c r="A172" s="41"/>
      <c r="B172" s="41"/>
      <c r="C172" s="22" t="s">
        <v>117</v>
      </c>
      <c r="D172" s="23">
        <v>4</v>
      </c>
      <c r="E172" s="23">
        <v>5</v>
      </c>
      <c r="F172" s="23">
        <v>4</v>
      </c>
      <c r="G172" s="23">
        <v>5</v>
      </c>
      <c r="H172" s="23">
        <v>5</v>
      </c>
      <c r="I172" s="23">
        <v>4</v>
      </c>
      <c r="J172" s="23">
        <v>5</v>
      </c>
      <c r="K172" s="23">
        <v>5</v>
      </c>
      <c r="L172" s="23">
        <v>5</v>
      </c>
      <c r="M172" s="25" t="str">
        <f>IF(MIN(D172:L172)=5, "Отличник", IF(MIN(D172:L172)&gt;=4, "Хорошист", IF(MIN(D172:L172)=3, "Троечник", "Двоечник")))</f>
        <v>Хорошист</v>
      </c>
      <c r="N172" s="25" t="str">
        <f>IF(MIN(D172:L172)=5, "5", IF(MIN(D172:L172)&gt;=4, "4", IF(MIN(D172:L172)=3, "3")))</f>
        <v>4</v>
      </c>
      <c r="O172" s="46" t="str">
        <f>IF(OR(N172&lt;N171,AND(N172&lt;=3,N172&lt;=3)),"Ынта төмендеді","Ынта тұрақты")</f>
        <v>Ынта тұрақты</v>
      </c>
    </row>
    <row r="173" spans="1:17" ht="22.5" thickBot="1" x14ac:dyDescent="0.4">
      <c r="A173" s="41"/>
      <c r="B173" s="41"/>
      <c r="C173" s="22" t="s">
        <v>118</v>
      </c>
      <c r="D173" s="23" t="s">
        <v>116</v>
      </c>
      <c r="E173" s="23" t="s">
        <v>116</v>
      </c>
      <c r="F173" s="23" t="s">
        <v>116</v>
      </c>
      <c r="G173" s="23" t="s">
        <v>116</v>
      </c>
      <c r="H173" s="23" t="s">
        <v>116</v>
      </c>
      <c r="I173" s="23" t="s">
        <v>116</v>
      </c>
      <c r="J173" s="23" t="s">
        <v>116</v>
      </c>
      <c r="K173" s="23" t="s">
        <v>116</v>
      </c>
      <c r="L173" s="23" t="s">
        <v>116</v>
      </c>
      <c r="O173" s="46" t="str">
        <f t="shared" ref="O173:O177" si="56">IF(OR(N173&lt;N172,AND(N173&lt;=3,N173&lt;=3)),"Ынта төмендеді","Ынта тұрақты")</f>
        <v>Ынта төмендеді</v>
      </c>
    </row>
    <row r="174" spans="1:17" ht="22.5" thickBot="1" x14ac:dyDescent="0.4">
      <c r="A174" s="41"/>
      <c r="B174" s="41"/>
      <c r="C174" s="22" t="s">
        <v>119</v>
      </c>
      <c r="D174" s="23" t="s">
        <v>116</v>
      </c>
      <c r="E174" s="23" t="s">
        <v>116</v>
      </c>
      <c r="F174" s="23" t="s">
        <v>116</v>
      </c>
      <c r="G174" s="23" t="s">
        <v>116</v>
      </c>
      <c r="H174" s="23" t="s">
        <v>116</v>
      </c>
      <c r="I174" s="23" t="s">
        <v>116</v>
      </c>
      <c r="J174" s="23" t="s">
        <v>116</v>
      </c>
      <c r="K174" s="23" t="s">
        <v>116</v>
      </c>
      <c r="L174" s="23" t="s">
        <v>116</v>
      </c>
      <c r="O174" s="46" t="str">
        <f t="shared" si="56"/>
        <v>Ынта төмендеді</v>
      </c>
    </row>
    <row r="175" spans="1:17" ht="22.5" thickBot="1" x14ac:dyDescent="0.4">
      <c r="A175" s="41"/>
      <c r="B175" s="41"/>
      <c r="C175" s="22" t="s">
        <v>120</v>
      </c>
      <c r="D175" s="23" t="s">
        <v>116</v>
      </c>
      <c r="E175" s="23" t="s">
        <v>116</v>
      </c>
      <c r="F175" s="23" t="s">
        <v>116</v>
      </c>
      <c r="G175" s="23" t="s">
        <v>116</v>
      </c>
      <c r="H175" s="23" t="s">
        <v>116</v>
      </c>
      <c r="I175" s="23" t="s">
        <v>116</v>
      </c>
      <c r="J175" s="23" t="s">
        <v>116</v>
      </c>
      <c r="K175" s="23">
        <v>5</v>
      </c>
      <c r="L175" s="23" t="s">
        <v>116</v>
      </c>
      <c r="M175" s="25" t="str">
        <f>IF(MIN(D175:L175)=5, "Отличник", IF(MIN(D175:L175)&gt;=4, "Хорошист", IF(MIN(D175:L175)=3, "Троечник", "Двоечник")))</f>
        <v>Отличник</v>
      </c>
      <c r="N175" s="25" t="str">
        <f>IF(MIN(D175:L175)=5, "5", IF(MIN(D175:L175)&gt;=4, "4", IF(MIN(D175:L175)=3, "3")))</f>
        <v>5</v>
      </c>
      <c r="O175" s="46" t="str">
        <f t="shared" si="56"/>
        <v>Ынта тұрақты</v>
      </c>
      <c r="Q175" s="48" t="str">
        <f>IF(N172&lt;N171, "2-тоқсанда ынта төмендеді", IF(N173&lt;N172, "3-тоқсанда ынта төмендеді", IF(N174&lt;N173, "4-тоқсанда ынта төмендеді", "Төмендеу жоқ")))</f>
        <v>3-тоқсанда ынта төмендеді</v>
      </c>
    </row>
    <row r="176" spans="1:17" ht="22.5" thickBot="1" x14ac:dyDescent="0.4">
      <c r="A176" s="41"/>
      <c r="B176" s="41"/>
      <c r="C176" s="22" t="s">
        <v>121</v>
      </c>
      <c r="D176" s="23" t="s">
        <v>116</v>
      </c>
      <c r="E176" s="23" t="s">
        <v>116</v>
      </c>
      <c r="F176" s="23" t="s">
        <v>116</v>
      </c>
      <c r="G176" s="23" t="s">
        <v>116</v>
      </c>
      <c r="H176" s="23" t="s">
        <v>116</v>
      </c>
      <c r="I176" s="23" t="s">
        <v>116</v>
      </c>
      <c r="J176" s="23" t="s">
        <v>116</v>
      </c>
      <c r="K176" s="23" t="s">
        <v>116</v>
      </c>
      <c r="L176" s="23" t="s">
        <v>116</v>
      </c>
      <c r="O176" s="46" t="str">
        <f t="shared" si="56"/>
        <v>Ынта төмендеді</v>
      </c>
    </row>
    <row r="177" spans="1:17" ht="22.5" thickBot="1" x14ac:dyDescent="0.4">
      <c r="A177" s="42"/>
      <c r="B177" s="42"/>
      <c r="C177" s="22" t="s">
        <v>122</v>
      </c>
      <c r="D177" s="23" t="s">
        <v>116</v>
      </c>
      <c r="E177" s="23" t="s">
        <v>116</v>
      </c>
      <c r="F177" s="23" t="s">
        <v>116</v>
      </c>
      <c r="G177" s="23" t="s">
        <v>116</v>
      </c>
      <c r="H177" s="23" t="s">
        <v>116</v>
      </c>
      <c r="I177" s="23" t="s">
        <v>116</v>
      </c>
      <c r="J177" s="23" t="s">
        <v>116</v>
      </c>
      <c r="K177" s="23" t="s">
        <v>116</v>
      </c>
      <c r="L177" s="23" t="s">
        <v>116</v>
      </c>
      <c r="O177" s="46" t="str">
        <f t="shared" si="56"/>
        <v>Ынта төмендеді</v>
      </c>
    </row>
    <row r="178" spans="1:17" ht="35.25" customHeight="1" thickBot="1" x14ac:dyDescent="0.4">
      <c r="A178" s="40">
        <v>22</v>
      </c>
      <c r="B178" s="40" t="s">
        <v>143</v>
      </c>
      <c r="C178" s="51" t="str">
        <f>IF(O172:O178="Ынта төмендеді","1. Жеке тапсырма беру; 2. Практикалық мысалдар келтіру; 3. Шағын мақсаттар қою; 4. Оқушының пікірін сұрау; 5. Ойын элементтерін қосу",
IF(AND(N175&gt;3, N177&gt;3), "1. Базалық білімді қалпына келтіру; 2. Қосымша сабақтар; 3. Жеңіл тапсырмалар арқылы сәттілік сезімін ояту; 4. Ата-анамен байланыс; 5. Пәнді өмірмен байланыстыру",
 "Ынта қалыпты, ынталандыруды жалғастыру"))</f>
        <v>Ынта қалыпты, ынталандыруды жалғастыру</v>
      </c>
      <c r="D178" s="52"/>
      <c r="E178" s="52"/>
      <c r="F178" s="52"/>
      <c r="G178" s="52"/>
      <c r="H178" s="52"/>
      <c r="I178" s="52"/>
      <c r="J178" s="52"/>
      <c r="K178" s="52"/>
      <c r="L178" s="52"/>
      <c r="N178" s="29">
        <f>AVERAGE(D172:L177)</f>
        <v>4.7</v>
      </c>
      <c r="O178" s="29"/>
      <c r="P178" s="30">
        <f>ROUNDDOWN(N178, 0)</f>
        <v>4</v>
      </c>
    </row>
    <row r="179" spans="1:17" ht="22.5" thickBot="1" x14ac:dyDescent="0.4">
      <c r="A179" s="41"/>
      <c r="B179" s="41"/>
      <c r="C179" s="22" t="s">
        <v>115</v>
      </c>
      <c r="D179" s="23" t="s">
        <v>116</v>
      </c>
      <c r="E179" s="23">
        <v>5</v>
      </c>
      <c r="F179" s="23">
        <v>5</v>
      </c>
      <c r="G179" s="23">
        <v>5</v>
      </c>
      <c r="H179" s="23">
        <v>5</v>
      </c>
      <c r="I179" s="23">
        <v>4</v>
      </c>
      <c r="J179" s="23">
        <v>4</v>
      </c>
      <c r="K179" s="23">
        <v>5</v>
      </c>
      <c r="L179" s="23">
        <v>5</v>
      </c>
      <c r="M179" s="25" t="str">
        <f t="shared" ref="M179:M185" si="57">IF(MIN(D179:L179)=5, "Отличник", IF(MIN(D179:L179)&gt;=4, "Хорошист", IF(MIN(D179:L179)=3, "Троечник", "Двоечник")))</f>
        <v>Хорошист</v>
      </c>
      <c r="N179" s="25" t="str">
        <f t="shared" ref="N179:N185" si="58">IF(MIN(D179:L179)=5, "5", IF(MIN(D179:L179)&gt;=4, "4", IF(MIN(D179:L179)=3, "3")))</f>
        <v>4</v>
      </c>
    </row>
    <row r="180" spans="1:17" ht="22.5" thickBot="1" x14ac:dyDescent="0.4">
      <c r="A180" s="41"/>
      <c r="B180" s="41"/>
      <c r="C180" s="22" t="s">
        <v>117</v>
      </c>
      <c r="D180" s="23">
        <v>4</v>
      </c>
      <c r="E180" s="23">
        <v>5</v>
      </c>
      <c r="F180" s="23">
        <v>5</v>
      </c>
      <c r="G180" s="23">
        <v>5</v>
      </c>
      <c r="H180" s="23">
        <v>5</v>
      </c>
      <c r="I180" s="23">
        <v>4</v>
      </c>
      <c r="J180" s="23">
        <v>5</v>
      </c>
      <c r="K180" s="23">
        <v>5</v>
      </c>
      <c r="L180" s="23">
        <v>5</v>
      </c>
      <c r="M180" s="25" t="str">
        <f t="shared" si="57"/>
        <v>Хорошист</v>
      </c>
      <c r="N180" s="25" t="str">
        <f t="shared" si="58"/>
        <v>4</v>
      </c>
      <c r="O180" s="46" t="str">
        <f>IF(OR(N180&lt;N179,AND(N180&lt;=3,N180&lt;=3)),"Ынта төмендеді","Ынта тұрақты")</f>
        <v>Ынта тұрақты</v>
      </c>
    </row>
    <row r="181" spans="1:17" ht="22.5" thickBot="1" x14ac:dyDescent="0.4">
      <c r="A181" s="41"/>
      <c r="B181" s="41"/>
      <c r="C181" s="22" t="s">
        <v>118</v>
      </c>
      <c r="D181" s="23" t="s">
        <v>116</v>
      </c>
      <c r="E181" s="23">
        <v>5</v>
      </c>
      <c r="F181" s="23">
        <v>5</v>
      </c>
      <c r="G181" s="23">
        <v>5</v>
      </c>
      <c r="H181" s="23">
        <v>5</v>
      </c>
      <c r="I181" s="23">
        <v>5</v>
      </c>
      <c r="J181" s="23">
        <v>5</v>
      </c>
      <c r="K181" s="23">
        <v>5</v>
      </c>
      <c r="L181" s="23">
        <v>5</v>
      </c>
      <c r="M181" s="25" t="str">
        <f t="shared" si="57"/>
        <v>Отличник</v>
      </c>
      <c r="N181" s="25" t="str">
        <f t="shared" si="58"/>
        <v>5</v>
      </c>
      <c r="O181" s="46" t="str">
        <f t="shared" ref="O181:O185" si="59">IF(OR(N181&lt;N180,AND(N181&lt;=3,N181&lt;=3)),"Ынта төмендеді","Ынта тұрақты")</f>
        <v>Ынта тұрақты</v>
      </c>
    </row>
    <row r="182" spans="1:17" ht="22.5" thickBot="1" x14ac:dyDescent="0.4">
      <c r="A182" s="41"/>
      <c r="B182" s="41"/>
      <c r="C182" s="22" t="s">
        <v>119</v>
      </c>
      <c r="D182" s="23">
        <v>5</v>
      </c>
      <c r="E182" s="23">
        <v>5</v>
      </c>
      <c r="F182" s="23">
        <v>5</v>
      </c>
      <c r="G182" s="23">
        <v>5</v>
      </c>
      <c r="H182" s="23">
        <v>5</v>
      </c>
      <c r="I182" s="23">
        <v>5</v>
      </c>
      <c r="J182" s="23">
        <v>5</v>
      </c>
      <c r="K182" s="23">
        <v>5</v>
      </c>
      <c r="L182" s="23">
        <v>5</v>
      </c>
      <c r="M182" s="25" t="str">
        <f t="shared" si="57"/>
        <v>Отличник</v>
      </c>
      <c r="N182" s="25" t="str">
        <f t="shared" si="58"/>
        <v>5</v>
      </c>
      <c r="O182" s="46" t="str">
        <f t="shared" si="59"/>
        <v>Ынта тұрақты</v>
      </c>
    </row>
    <row r="183" spans="1:17" ht="22.5" thickBot="1" x14ac:dyDescent="0.4">
      <c r="A183" s="41"/>
      <c r="B183" s="41"/>
      <c r="C183" s="22" t="s">
        <v>120</v>
      </c>
      <c r="D183" s="23">
        <v>5</v>
      </c>
      <c r="E183" s="23">
        <v>5</v>
      </c>
      <c r="F183" s="23">
        <v>5</v>
      </c>
      <c r="G183" s="23">
        <v>5</v>
      </c>
      <c r="H183" s="23">
        <v>5</v>
      </c>
      <c r="I183" s="23">
        <v>5</v>
      </c>
      <c r="J183" s="23">
        <v>5</v>
      </c>
      <c r="K183" s="23">
        <v>5</v>
      </c>
      <c r="L183" s="23">
        <v>5</v>
      </c>
      <c r="M183" s="25" t="str">
        <f t="shared" si="57"/>
        <v>Отличник</v>
      </c>
      <c r="N183" s="25" t="str">
        <f t="shared" si="58"/>
        <v>5</v>
      </c>
      <c r="O183" s="46" t="str">
        <f t="shared" si="59"/>
        <v>Ынта тұрақты</v>
      </c>
      <c r="Q183" s="48" t="str">
        <f>IF(N180&lt;N179, "2-тоқсанда ынта төмендеді", IF(N181&lt;N180, "3-тоқсанда ынта төмендеді", IF(N182&lt;N181, "4-тоқсанда ынта төмендеді", "Төмендеу жоқ")))</f>
        <v>Төмендеу жоқ</v>
      </c>
    </row>
    <row r="184" spans="1:17" ht="22.5" thickBot="1" x14ac:dyDescent="0.4">
      <c r="A184" s="41"/>
      <c r="B184" s="41"/>
      <c r="C184" s="22" t="s">
        <v>121</v>
      </c>
      <c r="D184" s="23" t="s">
        <v>116</v>
      </c>
      <c r="E184" s="23" t="s">
        <v>116</v>
      </c>
      <c r="F184" s="23" t="s">
        <v>116</v>
      </c>
      <c r="G184" s="23" t="s">
        <v>116</v>
      </c>
      <c r="H184" s="23">
        <v>5</v>
      </c>
      <c r="I184" s="23" t="s">
        <v>116</v>
      </c>
      <c r="J184" s="23" t="s">
        <v>116</v>
      </c>
      <c r="K184" s="23" t="s">
        <v>116</v>
      </c>
      <c r="L184" s="23" t="s">
        <v>116</v>
      </c>
      <c r="M184" s="25" t="str">
        <f t="shared" si="57"/>
        <v>Отличник</v>
      </c>
      <c r="N184" s="25" t="str">
        <f t="shared" si="58"/>
        <v>5</v>
      </c>
      <c r="O184" s="46" t="str">
        <f t="shared" si="59"/>
        <v>Ынта тұрақты</v>
      </c>
    </row>
    <row r="185" spans="1:17" ht="22.5" thickBot="1" x14ac:dyDescent="0.4">
      <c r="A185" s="42"/>
      <c r="B185" s="42"/>
      <c r="C185" s="22" t="s">
        <v>122</v>
      </c>
      <c r="D185" s="23" t="s">
        <v>116</v>
      </c>
      <c r="E185" s="23" t="s">
        <v>116</v>
      </c>
      <c r="F185" s="23" t="s">
        <v>116</v>
      </c>
      <c r="G185" s="23" t="s">
        <v>116</v>
      </c>
      <c r="H185" s="23">
        <v>5</v>
      </c>
      <c r="I185" s="23" t="s">
        <v>116</v>
      </c>
      <c r="J185" s="23" t="s">
        <v>116</v>
      </c>
      <c r="K185" s="23" t="s">
        <v>116</v>
      </c>
      <c r="L185" s="23" t="s">
        <v>116</v>
      </c>
      <c r="M185" s="25" t="str">
        <f t="shared" si="57"/>
        <v>Отличник</v>
      </c>
      <c r="N185" s="25" t="str">
        <f t="shared" si="58"/>
        <v>5</v>
      </c>
      <c r="O185" s="46" t="str">
        <f t="shared" si="59"/>
        <v>Ынта тұрақты</v>
      </c>
    </row>
    <row r="186" spans="1:17" ht="37.5" customHeight="1" thickBot="1" x14ac:dyDescent="0.4">
      <c r="A186" s="40">
        <v>23</v>
      </c>
      <c r="B186" s="40" t="s">
        <v>144</v>
      </c>
      <c r="C186" s="51" t="str">
        <f>IF(O180:O186="Ынта төмендеді","1. Жеке тапсырма беру; 2. Практикалық мысалдар келтіру; 3. Шағын мақсаттар қою; 4. Оқушының пікірін сұрау; 5. Ойын элементтерін қосу",
IF(AND(N183&gt;3, N185&gt;3), "1. Базалық білімді қалпына келтіру; 2. Қосымша сабақтар; 3. Жеңіл тапсырмалар арқылы сәттілік сезімін ояту; 4. Ата-анамен байланыс; 5. Пәнді өмірмен байланыстыру",
 "Ынта қалыпты, ынталандыруды жалғастыру"))</f>
        <v>1. Базалық білімді қалпына келтіру; 2. Қосымша сабақтар; 3. Жеңіл тапсырмалар арқылы сәттілік сезімін ояту; 4. Ата-анамен байланыс; 5. Пәнді өмірмен байланыстыру</v>
      </c>
      <c r="D186" s="52"/>
      <c r="E186" s="52"/>
      <c r="F186" s="52"/>
      <c r="G186" s="52"/>
      <c r="H186" s="52"/>
      <c r="I186" s="52"/>
      <c r="J186" s="52"/>
      <c r="K186" s="52"/>
      <c r="L186" s="52"/>
      <c r="N186" s="29">
        <f>AVERAGE(D183:L185)</f>
        <v>5</v>
      </c>
      <c r="O186" s="29"/>
      <c r="P186" s="30">
        <f>ROUNDDOWN(N186, 0)</f>
        <v>5</v>
      </c>
    </row>
    <row r="187" spans="1:17" ht="22.5" thickBot="1" x14ac:dyDescent="0.4">
      <c r="A187" s="41"/>
      <c r="B187" s="41"/>
      <c r="C187" s="22" t="s">
        <v>115</v>
      </c>
      <c r="D187" s="23" t="s">
        <v>116</v>
      </c>
      <c r="E187" s="23">
        <v>4</v>
      </c>
      <c r="F187" s="23">
        <v>4</v>
      </c>
      <c r="G187" s="23">
        <v>4</v>
      </c>
      <c r="H187" s="23">
        <v>4</v>
      </c>
      <c r="I187" s="23">
        <v>4</v>
      </c>
      <c r="J187" s="23">
        <v>5</v>
      </c>
      <c r="K187" s="23">
        <v>4</v>
      </c>
      <c r="L187" s="23">
        <v>5</v>
      </c>
      <c r="M187" s="25" t="str">
        <f t="shared" ref="M187:M193" si="60">IF(MIN(D187:L187)=5, "Отличник", IF(MIN(D187:L187)&gt;=4, "Хорошист", IF(MIN(D187:L187)=3, "Троечник", "Двоечник")))</f>
        <v>Хорошист</v>
      </c>
      <c r="N187" s="25" t="str">
        <f t="shared" ref="N187:N193" si="61">IF(MIN(D187:L187)=5, "5", IF(MIN(D187:L187)&gt;=4, "4", IF(MIN(D187:L187)=3, "3")))</f>
        <v>4</v>
      </c>
    </row>
    <row r="188" spans="1:17" ht="22.5" thickBot="1" x14ac:dyDescent="0.4">
      <c r="A188" s="41"/>
      <c r="B188" s="41"/>
      <c r="C188" s="22" t="s">
        <v>117</v>
      </c>
      <c r="D188" s="23">
        <v>4</v>
      </c>
      <c r="E188" s="23">
        <v>4</v>
      </c>
      <c r="F188" s="23">
        <v>4</v>
      </c>
      <c r="G188" s="23">
        <v>4</v>
      </c>
      <c r="H188" s="23">
        <v>4</v>
      </c>
      <c r="I188" s="23">
        <v>4</v>
      </c>
      <c r="J188" s="23">
        <v>5</v>
      </c>
      <c r="K188" s="23">
        <v>4</v>
      </c>
      <c r="L188" s="23">
        <v>4</v>
      </c>
      <c r="M188" s="25" t="str">
        <f t="shared" si="60"/>
        <v>Хорошист</v>
      </c>
      <c r="N188" s="25" t="str">
        <f t="shared" si="61"/>
        <v>4</v>
      </c>
      <c r="O188" s="46" t="str">
        <f>IF(OR(N188&lt;N187,AND(N188&lt;=3,N188&lt;=3)),"Ынта төмендеді","Ынта тұрақты")</f>
        <v>Ынта тұрақты</v>
      </c>
    </row>
    <row r="189" spans="1:17" ht="22.5" thickBot="1" x14ac:dyDescent="0.4">
      <c r="A189" s="41"/>
      <c r="B189" s="41"/>
      <c r="C189" s="22" t="s">
        <v>118</v>
      </c>
      <c r="D189" s="23" t="s">
        <v>116</v>
      </c>
      <c r="E189" s="23">
        <v>4</v>
      </c>
      <c r="F189" s="23">
        <v>4</v>
      </c>
      <c r="G189" s="23">
        <v>4</v>
      </c>
      <c r="H189" s="23">
        <v>4</v>
      </c>
      <c r="I189" s="23">
        <v>4</v>
      </c>
      <c r="J189" s="23">
        <v>5</v>
      </c>
      <c r="K189" s="23">
        <v>4</v>
      </c>
      <c r="L189" s="23">
        <v>4</v>
      </c>
      <c r="M189" s="25" t="str">
        <f t="shared" si="60"/>
        <v>Хорошист</v>
      </c>
      <c r="N189" s="25" t="str">
        <f t="shared" si="61"/>
        <v>4</v>
      </c>
      <c r="O189" s="46" t="str">
        <f t="shared" ref="O189:O193" si="62">IF(OR(N189&lt;N188,AND(N189&lt;=3,N189&lt;=3)),"Ынта төмендеді","Ынта тұрақты")</f>
        <v>Ынта тұрақты</v>
      </c>
    </row>
    <row r="190" spans="1:17" ht="22.5" thickBot="1" x14ac:dyDescent="0.4">
      <c r="A190" s="41"/>
      <c r="B190" s="41"/>
      <c r="C190" s="22" t="s">
        <v>119</v>
      </c>
      <c r="D190" s="23">
        <v>4</v>
      </c>
      <c r="E190" s="23">
        <v>4</v>
      </c>
      <c r="F190" s="23">
        <v>5</v>
      </c>
      <c r="G190" s="23">
        <v>4</v>
      </c>
      <c r="H190" s="23">
        <v>4</v>
      </c>
      <c r="I190" s="23">
        <v>4</v>
      </c>
      <c r="J190" s="23">
        <v>4</v>
      </c>
      <c r="K190" s="23">
        <v>4</v>
      </c>
      <c r="L190" s="23">
        <v>4</v>
      </c>
      <c r="M190" s="25" t="str">
        <f t="shared" si="60"/>
        <v>Хорошист</v>
      </c>
      <c r="N190" s="25" t="str">
        <f t="shared" si="61"/>
        <v>4</v>
      </c>
      <c r="O190" s="46" t="str">
        <f t="shared" si="62"/>
        <v>Ынта тұрақты</v>
      </c>
    </row>
    <row r="191" spans="1:17" ht="22.5" thickBot="1" x14ac:dyDescent="0.4">
      <c r="A191" s="41"/>
      <c r="B191" s="41"/>
      <c r="C191" s="22" t="s">
        <v>120</v>
      </c>
      <c r="D191" s="23">
        <v>4</v>
      </c>
      <c r="E191" s="23">
        <v>4</v>
      </c>
      <c r="F191" s="23">
        <v>4</v>
      </c>
      <c r="G191" s="23">
        <v>4</v>
      </c>
      <c r="H191" s="23">
        <v>4</v>
      </c>
      <c r="I191" s="23">
        <v>4</v>
      </c>
      <c r="J191" s="23">
        <v>5</v>
      </c>
      <c r="K191" s="23">
        <v>4</v>
      </c>
      <c r="L191" s="23">
        <v>4</v>
      </c>
      <c r="M191" s="25" t="str">
        <f t="shared" si="60"/>
        <v>Хорошист</v>
      </c>
      <c r="N191" s="25" t="str">
        <f t="shared" si="61"/>
        <v>4</v>
      </c>
      <c r="O191" s="46" t="str">
        <f t="shared" si="62"/>
        <v>Ынта тұрақты</v>
      </c>
      <c r="Q191" s="48" t="str">
        <f>IF(N188&lt;N187, "2-тоқсанда ынта төмендеді", IF(N189&lt;N188, "3-тоқсанда ынта төмендеді", IF(N190&lt;N189, "4-тоқсанда ынта төмендеді", "Төмендеу жоқ")))</f>
        <v>Төмендеу жоқ</v>
      </c>
    </row>
    <row r="192" spans="1:17" ht="22.5" thickBot="1" x14ac:dyDescent="0.4">
      <c r="A192" s="41"/>
      <c r="B192" s="41"/>
      <c r="C192" s="22" t="s">
        <v>121</v>
      </c>
      <c r="D192" s="23" t="s">
        <v>116</v>
      </c>
      <c r="E192" s="23" t="s">
        <v>116</v>
      </c>
      <c r="F192" s="23" t="s">
        <v>116</v>
      </c>
      <c r="G192" s="23" t="s">
        <v>116</v>
      </c>
      <c r="H192" s="23">
        <v>4</v>
      </c>
      <c r="I192" s="23" t="s">
        <v>116</v>
      </c>
      <c r="J192" s="23" t="s">
        <v>116</v>
      </c>
      <c r="K192" s="23" t="s">
        <v>116</v>
      </c>
      <c r="L192" s="23" t="s">
        <v>116</v>
      </c>
      <c r="M192" s="25" t="str">
        <f t="shared" si="60"/>
        <v>Хорошист</v>
      </c>
      <c r="N192" s="25" t="str">
        <f t="shared" si="61"/>
        <v>4</v>
      </c>
      <c r="O192" s="46" t="str">
        <f t="shared" si="62"/>
        <v>Ынта тұрақты</v>
      </c>
    </row>
    <row r="193" spans="1:17" ht="22.5" thickBot="1" x14ac:dyDescent="0.4">
      <c r="A193" s="42"/>
      <c r="B193" s="42"/>
      <c r="C193" s="22" t="s">
        <v>122</v>
      </c>
      <c r="D193" s="23" t="s">
        <v>116</v>
      </c>
      <c r="E193" s="23" t="s">
        <v>116</v>
      </c>
      <c r="F193" s="23" t="s">
        <v>116</v>
      </c>
      <c r="G193" s="23" t="s">
        <v>116</v>
      </c>
      <c r="H193" s="23">
        <v>4</v>
      </c>
      <c r="I193" s="23" t="s">
        <v>116</v>
      </c>
      <c r="J193" s="23" t="s">
        <v>116</v>
      </c>
      <c r="K193" s="23" t="s">
        <v>116</v>
      </c>
      <c r="L193" s="23" t="s">
        <v>116</v>
      </c>
      <c r="M193" s="25" t="str">
        <f t="shared" si="60"/>
        <v>Хорошист</v>
      </c>
      <c r="N193" s="25" t="str">
        <f t="shared" si="61"/>
        <v>4</v>
      </c>
      <c r="O193" s="46" t="str">
        <f t="shared" si="62"/>
        <v>Ынта тұрақты</v>
      </c>
    </row>
    <row r="194" spans="1:17" ht="39" customHeight="1" thickBot="1" x14ac:dyDescent="0.4">
      <c r="A194" s="40">
        <v>24</v>
      </c>
      <c r="B194" s="40" t="s">
        <v>145</v>
      </c>
      <c r="C194" s="51" t="str">
        <f>IF(O188:O194="Ынта төмендеді","1. Жеке тапсырма беру; 2. Практикалық мысалдар келтіру; 3. Шағын мақсаттар қою; 4. Оқушының пікірін сұрау; 5. Ойын элементтерін қосу",
IF(AND(N191&gt;3, N193&gt;3), "1. Базалық білімді қалпына келтіру; 2. Қосымша сабақтар; 3. Жеңіл тапсырмалар арқылы сәттілік сезімін ояту; 4. Ата-анамен байланыс; 5. Пәнді өмірмен байланыстыру",
 "Ынта қалыпты, ынталандыруды жалғастыру"))</f>
        <v>1. Базалық білімді қалпына келтіру; 2. Қосымша сабақтар; 3. Жеңіл тапсырмалар арқылы сәттілік сезімін ояту; 4. Ата-анамен байланыс; 5. Пәнді өмірмен байланыстыру</v>
      </c>
      <c r="D194" s="52"/>
      <c r="E194" s="52"/>
      <c r="F194" s="52"/>
      <c r="G194" s="52"/>
      <c r="H194" s="52"/>
      <c r="I194" s="52"/>
      <c r="J194" s="52"/>
      <c r="K194" s="52"/>
      <c r="L194" s="52"/>
      <c r="N194" s="29">
        <f>AVERAGE(D191:L193)</f>
        <v>4.0909090909090908</v>
      </c>
      <c r="O194" s="29"/>
      <c r="P194" s="30">
        <f>ROUNDDOWN(N194, 0)</f>
        <v>4</v>
      </c>
    </row>
    <row r="195" spans="1:17" ht="22.5" thickBot="1" x14ac:dyDescent="0.4">
      <c r="A195" s="41"/>
      <c r="B195" s="41"/>
      <c r="C195" s="22" t="s">
        <v>115</v>
      </c>
      <c r="D195" s="23" t="s">
        <v>116</v>
      </c>
      <c r="E195" s="23">
        <v>5</v>
      </c>
      <c r="F195" s="23">
        <v>5</v>
      </c>
      <c r="G195" s="23">
        <v>5</v>
      </c>
      <c r="H195" s="23">
        <v>5</v>
      </c>
      <c r="I195" s="23">
        <v>5</v>
      </c>
      <c r="J195" s="23">
        <v>5</v>
      </c>
      <c r="K195" s="23">
        <v>5</v>
      </c>
      <c r="L195" s="23">
        <v>5</v>
      </c>
      <c r="M195" s="25" t="str">
        <f t="shared" ref="M195:M201" si="63">IF(MIN(D195:L195)=5, "Отличник", IF(MIN(D195:L195)&gt;=4, "Хорошист", IF(MIN(D195:L195)=3, "Троечник", "Двоечник")))</f>
        <v>Отличник</v>
      </c>
      <c r="N195" s="25" t="str">
        <f t="shared" ref="N195:N201" si="64">IF(MIN(D195:L195)=5, "5", IF(MIN(D195:L195)&gt;=4, "4", IF(MIN(D195:L195)=3, "3")))</f>
        <v>5</v>
      </c>
    </row>
    <row r="196" spans="1:17" ht="22.5" thickBot="1" x14ac:dyDescent="0.4">
      <c r="A196" s="41"/>
      <c r="B196" s="41"/>
      <c r="C196" s="22" t="s">
        <v>117</v>
      </c>
      <c r="D196" s="23">
        <v>5</v>
      </c>
      <c r="E196" s="23">
        <v>5</v>
      </c>
      <c r="F196" s="23">
        <v>5</v>
      </c>
      <c r="G196" s="23">
        <v>5</v>
      </c>
      <c r="H196" s="23">
        <v>5</v>
      </c>
      <c r="I196" s="23">
        <v>5</v>
      </c>
      <c r="J196" s="23">
        <v>5</v>
      </c>
      <c r="K196" s="23">
        <v>5</v>
      </c>
      <c r="L196" s="23">
        <v>5</v>
      </c>
      <c r="M196" s="25" t="str">
        <f t="shared" si="63"/>
        <v>Отличник</v>
      </c>
      <c r="N196" s="25" t="str">
        <f t="shared" si="64"/>
        <v>5</v>
      </c>
      <c r="O196" s="46" t="str">
        <f>IF(OR(N196&lt;N195,AND(N196&lt;=3,N196&lt;=3)),"Ынта төмендеді","Ынта тұрақты")</f>
        <v>Ынта тұрақты</v>
      </c>
    </row>
    <row r="197" spans="1:17" ht="22.5" thickBot="1" x14ac:dyDescent="0.4">
      <c r="A197" s="41"/>
      <c r="B197" s="41"/>
      <c r="C197" s="22" t="s">
        <v>118</v>
      </c>
      <c r="D197" s="23" t="s">
        <v>116</v>
      </c>
      <c r="E197" s="23">
        <v>5</v>
      </c>
      <c r="F197" s="23">
        <v>5</v>
      </c>
      <c r="G197" s="23">
        <v>5</v>
      </c>
      <c r="H197" s="23">
        <v>5</v>
      </c>
      <c r="I197" s="23">
        <v>5</v>
      </c>
      <c r="J197" s="23">
        <v>5</v>
      </c>
      <c r="K197" s="23">
        <v>5</v>
      </c>
      <c r="L197" s="23">
        <v>5</v>
      </c>
      <c r="M197" s="25" t="str">
        <f t="shared" si="63"/>
        <v>Отличник</v>
      </c>
      <c r="N197" s="25" t="str">
        <f t="shared" si="64"/>
        <v>5</v>
      </c>
      <c r="O197" s="46" t="str">
        <f t="shared" ref="O197:O201" si="65">IF(OR(N197&lt;N196,AND(N197&lt;=3,N197&lt;=3)),"Ынта төмендеді","Ынта тұрақты")</f>
        <v>Ынта тұрақты</v>
      </c>
    </row>
    <row r="198" spans="1:17" ht="22.5" thickBot="1" x14ac:dyDescent="0.4">
      <c r="A198" s="41"/>
      <c r="B198" s="41"/>
      <c r="C198" s="22" t="s">
        <v>119</v>
      </c>
      <c r="D198" s="23">
        <v>5</v>
      </c>
      <c r="E198" s="23">
        <v>5</v>
      </c>
      <c r="F198" s="23">
        <v>5</v>
      </c>
      <c r="G198" s="23">
        <v>5</v>
      </c>
      <c r="H198" s="23">
        <v>5</v>
      </c>
      <c r="I198" s="23">
        <v>4</v>
      </c>
      <c r="J198" s="23">
        <v>4</v>
      </c>
      <c r="K198" s="23">
        <v>5</v>
      </c>
      <c r="L198" s="23">
        <v>5</v>
      </c>
      <c r="M198" s="25" t="str">
        <f t="shared" si="63"/>
        <v>Хорошист</v>
      </c>
      <c r="N198" s="25" t="str">
        <f t="shared" si="64"/>
        <v>4</v>
      </c>
      <c r="O198" s="46" t="str">
        <f t="shared" si="65"/>
        <v>Ынта төмендеді</v>
      </c>
    </row>
    <row r="199" spans="1:17" ht="22.5" thickBot="1" x14ac:dyDescent="0.4">
      <c r="A199" s="41"/>
      <c r="B199" s="41"/>
      <c r="C199" s="22" t="s">
        <v>120</v>
      </c>
      <c r="D199" s="23">
        <v>5</v>
      </c>
      <c r="E199" s="23">
        <v>5</v>
      </c>
      <c r="F199" s="23">
        <v>5</v>
      </c>
      <c r="G199" s="23">
        <v>5</v>
      </c>
      <c r="H199" s="23">
        <v>5</v>
      </c>
      <c r="I199" s="23">
        <v>5</v>
      </c>
      <c r="J199" s="23">
        <v>5</v>
      </c>
      <c r="K199" s="23">
        <v>5</v>
      </c>
      <c r="L199" s="23">
        <v>5</v>
      </c>
      <c r="M199" s="25" t="str">
        <f t="shared" si="63"/>
        <v>Отличник</v>
      </c>
      <c r="N199" s="25" t="str">
        <f t="shared" si="64"/>
        <v>5</v>
      </c>
      <c r="O199" s="46" t="str">
        <f t="shared" si="65"/>
        <v>Ынта тұрақты</v>
      </c>
      <c r="Q199" s="48" t="str">
        <f>IF(N196&lt;N195, "2-тоқсанда ынта төмендеді", IF(N197&lt;N196, "3-тоқсанда ынта төмендеді", IF(N198&lt;N197, "4-тоқсанда ынта төмендеді", "Төмендеу жоқ")))</f>
        <v>4-тоқсанда ынта төмендеді</v>
      </c>
    </row>
    <row r="200" spans="1:17" ht="22.5" thickBot="1" x14ac:dyDescent="0.4">
      <c r="A200" s="41"/>
      <c r="B200" s="41"/>
      <c r="C200" s="22" t="s">
        <v>121</v>
      </c>
      <c r="D200" s="23" t="s">
        <v>116</v>
      </c>
      <c r="E200" s="23" t="s">
        <v>116</v>
      </c>
      <c r="F200" s="23" t="s">
        <v>116</v>
      </c>
      <c r="G200" s="23" t="s">
        <v>116</v>
      </c>
      <c r="H200" s="23">
        <v>5</v>
      </c>
      <c r="I200" s="23" t="s">
        <v>116</v>
      </c>
      <c r="J200" s="23" t="s">
        <v>116</v>
      </c>
      <c r="K200" s="23" t="s">
        <v>116</v>
      </c>
      <c r="L200" s="23" t="s">
        <v>116</v>
      </c>
      <c r="M200" s="25" t="str">
        <f t="shared" si="63"/>
        <v>Отличник</v>
      </c>
      <c r="N200" s="25" t="str">
        <f t="shared" si="64"/>
        <v>5</v>
      </c>
      <c r="O200" s="46" t="str">
        <f t="shared" si="65"/>
        <v>Ынта тұрақты</v>
      </c>
    </row>
    <row r="201" spans="1:17" ht="22.5" thickBot="1" x14ac:dyDescent="0.4">
      <c r="A201" s="42"/>
      <c r="B201" s="42"/>
      <c r="C201" s="22" t="s">
        <v>122</v>
      </c>
      <c r="D201" s="23" t="s">
        <v>116</v>
      </c>
      <c r="E201" s="23" t="s">
        <v>116</v>
      </c>
      <c r="F201" s="23" t="s">
        <v>116</v>
      </c>
      <c r="G201" s="23" t="s">
        <v>116</v>
      </c>
      <c r="H201" s="23">
        <v>5</v>
      </c>
      <c r="I201" s="23" t="s">
        <v>116</v>
      </c>
      <c r="J201" s="23" t="s">
        <v>116</v>
      </c>
      <c r="K201" s="23" t="s">
        <v>116</v>
      </c>
      <c r="L201" s="23" t="s">
        <v>116</v>
      </c>
      <c r="M201" s="25" t="str">
        <f t="shared" si="63"/>
        <v>Отличник</v>
      </c>
      <c r="N201" s="25" t="str">
        <f t="shared" si="64"/>
        <v>5</v>
      </c>
      <c r="O201" s="46" t="str">
        <f t="shared" si="65"/>
        <v>Ынта тұрақты</v>
      </c>
    </row>
    <row r="202" spans="1:17" ht="32.25" customHeight="1" thickBot="1" x14ac:dyDescent="0.4">
      <c r="A202" s="40">
        <v>25</v>
      </c>
      <c r="B202" s="40" t="s">
        <v>146</v>
      </c>
      <c r="C202" s="51" t="str">
        <f>IF(O196:O202="Ынта төмендеді","1. Жеке тапсырма беру; 2. Практикалық мысалдар келтіру; 3. Шағын мақсаттар қою; 4. Оқушының пікірін сұрау; 5. Ойын элементтерін қосу",
IF(AND(N199&gt;3, N201&gt;3), "1. Базалық білімді қалпына келтіру; 2. Қосымша сабақтар; 3. Жеңіл тапсырмалар арқылы сәттілік сезімін ояту; 4. Ата-анамен байланыс; 5. Пәнді өмірмен байланыстыру",
 "Ынта қалыпты, ынталандыруды жалғастыру"))</f>
        <v>1. Базалық білімді қалпына келтіру; 2. Қосымша сабақтар; 3. Жеңіл тапсырмалар арқылы сәттілік сезімін ояту; 4. Ата-анамен байланыс; 5. Пәнді өмірмен байланыстыру</v>
      </c>
      <c r="D202" s="52"/>
      <c r="E202" s="52"/>
      <c r="F202" s="52"/>
      <c r="G202" s="52"/>
      <c r="H202" s="52"/>
      <c r="I202" s="52"/>
      <c r="J202" s="52"/>
      <c r="K202" s="52"/>
      <c r="L202" s="52"/>
      <c r="N202" s="29">
        <f>AVERAGE(D199:L201)</f>
        <v>5</v>
      </c>
      <c r="O202" s="29"/>
      <c r="P202" s="30">
        <f>ROUNDDOWN(N202, 0)</f>
        <v>5</v>
      </c>
    </row>
    <row r="203" spans="1:17" ht="22.5" thickBot="1" x14ac:dyDescent="0.4">
      <c r="A203" s="41"/>
      <c r="B203" s="41"/>
      <c r="C203" s="22" t="s">
        <v>115</v>
      </c>
      <c r="D203" s="23" t="s">
        <v>116</v>
      </c>
      <c r="E203" s="23">
        <v>4</v>
      </c>
      <c r="F203" s="23">
        <v>4</v>
      </c>
      <c r="G203" s="23">
        <v>4</v>
      </c>
      <c r="H203" s="23">
        <v>4</v>
      </c>
      <c r="I203" s="23">
        <v>4</v>
      </c>
      <c r="J203" s="23">
        <v>4</v>
      </c>
      <c r="K203" s="23">
        <v>4</v>
      </c>
      <c r="L203" s="23">
        <v>4</v>
      </c>
      <c r="M203" s="25" t="str">
        <f t="shared" ref="M203:M209" si="66">IF(MIN(D203:L203)=5, "Отличник", IF(MIN(D203:L203)&gt;=4, "Хорошист", IF(MIN(D203:L203)=3, "Троечник", "Двоечник")))</f>
        <v>Хорошист</v>
      </c>
      <c r="N203" s="25" t="str">
        <f t="shared" ref="N203:N209" si="67">IF(MIN(D203:L203)=5, "5", IF(MIN(D203:L203)&gt;=4, "4", IF(MIN(D203:L203)=3, "3")))</f>
        <v>4</v>
      </c>
    </row>
    <row r="204" spans="1:17" ht="22.5" thickBot="1" x14ac:dyDescent="0.4">
      <c r="A204" s="41"/>
      <c r="B204" s="41"/>
      <c r="C204" s="22" t="s">
        <v>117</v>
      </c>
      <c r="D204" s="23">
        <v>4</v>
      </c>
      <c r="E204" s="23">
        <v>5</v>
      </c>
      <c r="F204" s="23">
        <v>4</v>
      </c>
      <c r="G204" s="23">
        <v>4</v>
      </c>
      <c r="H204" s="23">
        <v>4</v>
      </c>
      <c r="I204" s="23">
        <v>4</v>
      </c>
      <c r="J204" s="23">
        <v>5</v>
      </c>
      <c r="K204" s="23">
        <v>4</v>
      </c>
      <c r="L204" s="23">
        <v>4</v>
      </c>
      <c r="M204" s="25" t="str">
        <f t="shared" si="66"/>
        <v>Хорошист</v>
      </c>
      <c r="N204" s="25" t="str">
        <f t="shared" si="67"/>
        <v>4</v>
      </c>
      <c r="O204" s="46" t="str">
        <f>IF(OR(N204&lt;N203,AND(N204&lt;=3,N204&lt;=3)),"Ынта төмендеді","Ынта тұрақты")</f>
        <v>Ынта тұрақты</v>
      </c>
    </row>
    <row r="205" spans="1:17" ht="22.5" thickBot="1" x14ac:dyDescent="0.4">
      <c r="A205" s="41"/>
      <c r="B205" s="41"/>
      <c r="C205" s="22" t="s">
        <v>118</v>
      </c>
      <c r="D205" s="23" t="s">
        <v>116</v>
      </c>
      <c r="E205" s="23">
        <v>5</v>
      </c>
      <c r="F205" s="23">
        <v>4</v>
      </c>
      <c r="G205" s="23">
        <v>4</v>
      </c>
      <c r="H205" s="23">
        <v>4</v>
      </c>
      <c r="I205" s="23">
        <v>4</v>
      </c>
      <c r="J205" s="23">
        <v>4</v>
      </c>
      <c r="K205" s="23">
        <v>4</v>
      </c>
      <c r="L205" s="23">
        <v>4</v>
      </c>
      <c r="M205" s="25" t="str">
        <f t="shared" si="66"/>
        <v>Хорошист</v>
      </c>
      <c r="N205" s="25" t="str">
        <f t="shared" si="67"/>
        <v>4</v>
      </c>
      <c r="O205" s="46" t="str">
        <f t="shared" ref="O205:O209" si="68">IF(OR(N205&lt;N204,AND(N205&lt;=3,N205&lt;=3)),"Ынта төмендеді","Ынта тұрақты")</f>
        <v>Ынта тұрақты</v>
      </c>
    </row>
    <row r="206" spans="1:17" ht="22.5" thickBot="1" x14ac:dyDescent="0.4">
      <c r="A206" s="41"/>
      <c r="B206" s="41"/>
      <c r="C206" s="22" t="s">
        <v>119</v>
      </c>
      <c r="D206" s="23">
        <v>4</v>
      </c>
      <c r="E206" s="23">
        <v>5</v>
      </c>
      <c r="F206" s="23">
        <v>4</v>
      </c>
      <c r="G206" s="23">
        <v>5</v>
      </c>
      <c r="H206" s="23">
        <v>4</v>
      </c>
      <c r="I206" s="23">
        <v>4</v>
      </c>
      <c r="J206" s="23">
        <v>4</v>
      </c>
      <c r="K206" s="23">
        <v>4</v>
      </c>
      <c r="L206" s="23">
        <v>4</v>
      </c>
      <c r="M206" s="25" t="str">
        <f t="shared" si="66"/>
        <v>Хорошист</v>
      </c>
      <c r="N206" s="25" t="str">
        <f t="shared" si="67"/>
        <v>4</v>
      </c>
      <c r="O206" s="46" t="str">
        <f t="shared" si="68"/>
        <v>Ынта тұрақты</v>
      </c>
    </row>
    <row r="207" spans="1:17" ht="22.5" thickBot="1" x14ac:dyDescent="0.4">
      <c r="A207" s="41"/>
      <c r="B207" s="41"/>
      <c r="C207" s="22" t="s">
        <v>120</v>
      </c>
      <c r="D207" s="23">
        <v>5</v>
      </c>
      <c r="E207" s="23">
        <v>5</v>
      </c>
      <c r="F207" s="23">
        <v>4</v>
      </c>
      <c r="G207" s="23">
        <v>4</v>
      </c>
      <c r="H207" s="23">
        <v>4</v>
      </c>
      <c r="I207" s="23">
        <v>4</v>
      </c>
      <c r="J207" s="23">
        <v>4</v>
      </c>
      <c r="K207" s="23">
        <v>4</v>
      </c>
      <c r="L207" s="23">
        <v>4</v>
      </c>
      <c r="M207" s="25" t="str">
        <f t="shared" si="66"/>
        <v>Хорошист</v>
      </c>
      <c r="N207" s="25" t="str">
        <f t="shared" si="67"/>
        <v>4</v>
      </c>
      <c r="O207" s="46" t="str">
        <f t="shared" si="68"/>
        <v>Ынта тұрақты</v>
      </c>
      <c r="Q207" s="48" t="str">
        <f>IF(N204&lt;N203, "2-тоқсанда ынта төмендеді", IF(N205&lt;N204, "3-тоқсанда ынта төмендеді", IF(N206&lt;N205, "4-тоқсанда ынта төмендеді", "Төмендеу жоқ")))</f>
        <v>Төмендеу жоқ</v>
      </c>
    </row>
    <row r="208" spans="1:17" ht="22.5" thickBot="1" x14ac:dyDescent="0.4">
      <c r="A208" s="41"/>
      <c r="B208" s="41"/>
      <c r="C208" s="22" t="s">
        <v>121</v>
      </c>
      <c r="D208" s="23" t="s">
        <v>116</v>
      </c>
      <c r="E208" s="23" t="s">
        <v>116</v>
      </c>
      <c r="F208" s="23" t="s">
        <v>116</v>
      </c>
      <c r="G208" s="23" t="s">
        <v>116</v>
      </c>
      <c r="H208" s="23">
        <v>4</v>
      </c>
      <c r="I208" s="23" t="s">
        <v>116</v>
      </c>
      <c r="J208" s="23" t="s">
        <v>116</v>
      </c>
      <c r="K208" s="23" t="s">
        <v>116</v>
      </c>
      <c r="L208" s="23" t="s">
        <v>116</v>
      </c>
      <c r="M208" s="25" t="str">
        <f t="shared" si="66"/>
        <v>Хорошист</v>
      </c>
      <c r="N208" s="25" t="str">
        <f t="shared" si="67"/>
        <v>4</v>
      </c>
      <c r="O208" s="46" t="str">
        <f t="shared" si="68"/>
        <v>Ынта тұрақты</v>
      </c>
    </row>
    <row r="209" spans="1:17" ht="22.5" thickBot="1" x14ac:dyDescent="0.4">
      <c r="A209" s="42"/>
      <c r="B209" s="41"/>
      <c r="C209" s="35" t="s">
        <v>122</v>
      </c>
      <c r="D209" s="20" t="s">
        <v>116</v>
      </c>
      <c r="E209" s="20" t="s">
        <v>116</v>
      </c>
      <c r="F209" s="20" t="s">
        <v>116</v>
      </c>
      <c r="G209" s="20" t="s">
        <v>116</v>
      </c>
      <c r="H209" s="20">
        <v>4</v>
      </c>
      <c r="I209" s="20" t="s">
        <v>116</v>
      </c>
      <c r="J209" s="20" t="s">
        <v>116</v>
      </c>
      <c r="K209" s="20" t="s">
        <v>116</v>
      </c>
      <c r="L209" s="20" t="s">
        <v>116</v>
      </c>
      <c r="M209" s="25" t="str">
        <f t="shared" si="66"/>
        <v>Хорошист</v>
      </c>
      <c r="N209" s="25" t="str">
        <f t="shared" si="67"/>
        <v>4</v>
      </c>
      <c r="O209" s="46" t="str">
        <f t="shared" si="68"/>
        <v>Ынта тұрақты</v>
      </c>
    </row>
    <row r="210" spans="1:17" ht="22.5" thickBot="1" x14ac:dyDescent="0.4">
      <c r="A210" s="34"/>
      <c r="B210" s="36"/>
      <c r="C210" s="36"/>
      <c r="D210" s="37"/>
      <c r="E210" s="37"/>
      <c r="F210" s="37"/>
      <c r="G210" s="37"/>
      <c r="H210" s="37"/>
      <c r="I210" s="37"/>
      <c r="J210" s="37"/>
      <c r="K210" s="37"/>
      <c r="L210" s="37"/>
      <c r="M210" s="38"/>
    </row>
    <row r="211" spans="1:17" ht="33.75" customHeight="1" thickBot="1" x14ac:dyDescent="0.4">
      <c r="A211" s="31">
        <v>26</v>
      </c>
      <c r="B211" s="41" t="s">
        <v>147</v>
      </c>
      <c r="C211" s="51" t="str">
        <f>IF(O205:O211="Ынта төмендеді","1. Жеке тапсырма беру; 2. Практикалық мысалдар келтіру; 3. Шағын мақсаттар қою; 4. Оқушының пікірін сұрау; 5. Ойын элементтерін қосу",
IF(AND(N208&gt;3, N210&gt;3), "1. Базалық білімді қалпына келтіру; 2. Қосымша сабақтар; 3. Жеңіл тапсырмалар арқылы сәттілік сезімін ояту; 4. Ата-анамен байланыс; 5. Пәнді өмірмен байланыстыру",
 "Ынта қалыпты, ынталандыруды жалғастыру"))</f>
        <v>Ынта қалыпты, ынталандыруды жалғастыру</v>
      </c>
      <c r="D211" s="52"/>
      <c r="E211" s="52"/>
      <c r="F211" s="52"/>
      <c r="G211" s="52"/>
      <c r="H211" s="52"/>
      <c r="I211" s="52"/>
      <c r="J211" s="52"/>
      <c r="K211" s="52"/>
      <c r="L211" s="52"/>
      <c r="N211" s="29">
        <f>AVERAGE(D207:L209)</f>
        <v>4.1818181818181817</v>
      </c>
      <c r="O211" s="29"/>
      <c r="P211" s="30">
        <f>ROUNDDOWN(N211, 0)</f>
        <v>4</v>
      </c>
    </row>
    <row r="212" spans="1:17" ht="22.5" thickBot="1" x14ac:dyDescent="0.4">
      <c r="A212" s="32"/>
      <c r="B212" s="41"/>
      <c r="C212" s="22" t="s">
        <v>115</v>
      </c>
      <c r="D212" s="23">
        <v>5</v>
      </c>
      <c r="E212" s="23">
        <v>4</v>
      </c>
      <c r="F212" s="23">
        <v>4</v>
      </c>
      <c r="G212" s="23">
        <v>4</v>
      </c>
      <c r="H212" s="23">
        <v>4</v>
      </c>
      <c r="I212" s="23">
        <v>4</v>
      </c>
      <c r="J212" s="23">
        <v>4</v>
      </c>
      <c r="K212" s="23">
        <v>4</v>
      </c>
      <c r="L212" s="23">
        <v>4</v>
      </c>
      <c r="M212" s="25" t="str">
        <f>IF(MIN(D212:L212)=5, "Отличник", IF(MIN(D212:L212)&gt;=4, "Хорошист", IF(MIN(D212:L212)=3, "Троечник", "Двоечник")))</f>
        <v>Хорошист</v>
      </c>
      <c r="N212" s="25" t="str">
        <f>IF(MIN(D212:L212)=5, "5", IF(MIN(D212:L212)&gt;=4, "4", IF(MIN(D212:L212)=3, "3")))</f>
        <v>4</v>
      </c>
    </row>
    <row r="213" spans="1:17" ht="22.5" thickBot="1" x14ac:dyDescent="0.4">
      <c r="A213" s="32"/>
      <c r="B213" s="41"/>
      <c r="C213" s="22" t="s">
        <v>117</v>
      </c>
      <c r="D213" s="23">
        <v>5</v>
      </c>
      <c r="E213" s="23">
        <v>5</v>
      </c>
      <c r="F213" s="23">
        <v>4</v>
      </c>
      <c r="G213" s="23">
        <v>5</v>
      </c>
      <c r="H213" s="23">
        <v>5</v>
      </c>
      <c r="I213" s="23">
        <v>5</v>
      </c>
      <c r="J213" s="23">
        <v>3</v>
      </c>
      <c r="K213" s="23">
        <v>4</v>
      </c>
      <c r="L213" s="23">
        <v>4</v>
      </c>
      <c r="M213" s="25" t="str">
        <f>IF(MIN(D213:L213)=5, "Отличник", IF(MIN(D213:L213)&gt;=4, "Хорошист", IF(MIN(D213:L213)=3, "Троечник", "Двоечник")))</f>
        <v>Троечник</v>
      </c>
      <c r="N213" s="25" t="str">
        <f>IF(MIN(D213:L213)=5, "5", IF(MIN(D213:L213)&gt;=4, "4", IF(MIN(D213:L213)=3, "3")))</f>
        <v>3</v>
      </c>
      <c r="O213" s="46" t="str">
        <f>IF(OR(N213&lt;N212,AND(N213&lt;=3,N213&lt;=3)),"Ынта төмендеді","Ынта тұрақты")</f>
        <v>Ынта төмендеді</v>
      </c>
      <c r="Q213" s="49"/>
    </row>
    <row r="214" spans="1:17" ht="22.5" thickBot="1" x14ac:dyDescent="0.4">
      <c r="A214" s="32"/>
      <c r="B214" s="41"/>
      <c r="C214" s="22" t="s">
        <v>118</v>
      </c>
      <c r="D214" s="23">
        <v>5</v>
      </c>
      <c r="E214" s="23">
        <v>5</v>
      </c>
      <c r="F214" s="23">
        <v>4</v>
      </c>
      <c r="G214" s="23">
        <v>4</v>
      </c>
      <c r="H214" s="23">
        <v>5</v>
      </c>
      <c r="I214" s="23">
        <v>5</v>
      </c>
      <c r="J214" s="23">
        <v>3</v>
      </c>
      <c r="K214" s="23">
        <v>4</v>
      </c>
      <c r="L214" s="23">
        <v>4</v>
      </c>
      <c r="M214" s="25" t="str">
        <f>IF(MIN(D214:L214)=5, "Отличник", IF(MIN(D214:L214)&gt;=4, "Хорошист", IF(MIN(D214:L214)=3, "Троечник", "Двоечник")))</f>
        <v>Троечник</v>
      </c>
      <c r="N214" s="25" t="str">
        <f>IF(MIN(D214:L214)=5, "5", IF(MIN(D214:L214)&gt;=4, "4", IF(MIN(D214:L214)=3, "3")))</f>
        <v>3</v>
      </c>
      <c r="O214" s="46" t="str">
        <f t="shared" ref="O214:O218" si="69">IF(OR(N214&lt;N213,AND(N214&lt;=3,N214&lt;=3)),"Ынта төмендеді","Ынта тұрақты")</f>
        <v>Ынта тұрақты</v>
      </c>
      <c r="Q214" s="49"/>
    </row>
    <row r="215" spans="1:17" ht="22.5" thickBot="1" x14ac:dyDescent="0.4">
      <c r="A215" s="32"/>
      <c r="B215" s="41"/>
      <c r="C215" s="22" t="s">
        <v>119</v>
      </c>
      <c r="D215" s="23">
        <v>5</v>
      </c>
      <c r="E215" s="23">
        <v>5</v>
      </c>
      <c r="F215" s="23">
        <v>4</v>
      </c>
      <c r="G215" s="23">
        <v>5</v>
      </c>
      <c r="H215" s="23">
        <v>4</v>
      </c>
      <c r="I215" s="23">
        <v>5</v>
      </c>
      <c r="J215" s="23">
        <v>3</v>
      </c>
      <c r="K215" s="23">
        <v>5</v>
      </c>
      <c r="L215" s="23">
        <v>4</v>
      </c>
      <c r="M215" s="25" t="str">
        <f>IF(MIN(D215:L215)=5, "Отличник", IF(MIN(D215:L215)&gt;=4, "Хорошист", IF(MIN(D215:L215)=3, "Троечник", "Двоечник")))</f>
        <v>Троечник</v>
      </c>
      <c r="N215" s="25" t="str">
        <f>IF(MIN(D215:L215)=5, "5", IF(MIN(D215:L215)&gt;=4, "4", IF(MIN(D215:L215)=3, "3")))</f>
        <v>3</v>
      </c>
      <c r="O215" s="46" t="str">
        <f t="shared" si="69"/>
        <v>Ынта тұрақты</v>
      </c>
    </row>
    <row r="216" spans="1:17" ht="22.5" thickBot="1" x14ac:dyDescent="0.4">
      <c r="A216" s="32"/>
      <c r="B216" s="41"/>
      <c r="C216" s="22" t="s">
        <v>120</v>
      </c>
      <c r="D216" s="23">
        <v>5</v>
      </c>
      <c r="E216" s="23">
        <v>5</v>
      </c>
      <c r="F216" s="23">
        <v>4</v>
      </c>
      <c r="G216" s="23">
        <v>5</v>
      </c>
      <c r="H216" s="23">
        <v>5</v>
      </c>
      <c r="I216" s="23">
        <v>5</v>
      </c>
      <c r="J216" s="23">
        <v>3</v>
      </c>
      <c r="K216" s="23">
        <v>4</v>
      </c>
      <c r="L216" s="23">
        <v>4</v>
      </c>
      <c r="M216" s="25" t="str">
        <f>IF(MIN(D216:L216)=5, "Отличник", IF(MIN(D216:L216)&gt;=4, "Хорошист", IF(MIN(D216:L216)=3, "Троечник", "Двоечник")))</f>
        <v>Троечник</v>
      </c>
      <c r="N216" s="25" t="str">
        <f>IF(MIN(D216:L216)=5, "5", IF(MIN(D216:L216)&gt;=4, "4", IF(MIN(D216:L216)=3, "3")))</f>
        <v>3</v>
      </c>
      <c r="O216" s="46" t="str">
        <f t="shared" si="69"/>
        <v>Ынта тұрақты</v>
      </c>
      <c r="Q216" s="48" t="str">
        <f>IF(N213&lt;N212, "2-тоқсанда ынта төмендеді", IF(N214&lt;N213, "3-тоқсанда ынта төмендеді", IF(N215&lt;N214, "4-тоқсанда ынта төмендеді", "Төмендеу жоқ")))</f>
        <v>2-тоқсанда ынта төмендеді</v>
      </c>
    </row>
    <row r="217" spans="1:17" ht="22.5" thickBot="1" x14ac:dyDescent="0.4">
      <c r="A217" s="32"/>
      <c r="B217" s="41"/>
      <c r="C217" s="22" t="s">
        <v>121</v>
      </c>
      <c r="D217" s="23" t="s">
        <v>116</v>
      </c>
      <c r="E217" s="23" t="s">
        <v>116</v>
      </c>
      <c r="F217" s="23" t="s">
        <v>116</v>
      </c>
      <c r="G217" s="23" t="s">
        <v>116</v>
      </c>
      <c r="H217" s="23">
        <v>5</v>
      </c>
      <c r="I217" s="23" t="s">
        <v>116</v>
      </c>
      <c r="J217" s="23" t="s">
        <v>116</v>
      </c>
      <c r="K217" s="23" t="s">
        <v>116</v>
      </c>
      <c r="L217" s="23" t="s">
        <v>116</v>
      </c>
      <c r="O217" s="46" t="str">
        <f t="shared" si="69"/>
        <v>Ынта төмендеді</v>
      </c>
    </row>
    <row r="218" spans="1:17" ht="22.5" thickBot="1" x14ac:dyDescent="0.4">
      <c r="A218" s="33"/>
      <c r="B218" s="42"/>
      <c r="C218" s="22" t="s">
        <v>122</v>
      </c>
      <c r="D218" s="23" t="s">
        <v>116</v>
      </c>
      <c r="E218" s="23" t="s">
        <v>116</v>
      </c>
      <c r="F218" s="23" t="s">
        <v>116</v>
      </c>
      <c r="G218" s="23" t="s">
        <v>116</v>
      </c>
      <c r="H218" s="23">
        <v>5</v>
      </c>
      <c r="I218" s="23" t="s">
        <v>116</v>
      </c>
      <c r="J218" s="23" t="s">
        <v>116</v>
      </c>
      <c r="K218" s="23" t="s">
        <v>116</v>
      </c>
      <c r="L218" s="23" t="s">
        <v>116</v>
      </c>
      <c r="O218" s="46" t="str">
        <f t="shared" si="69"/>
        <v>Ынта төмендеді</v>
      </c>
    </row>
    <row r="219" spans="1:17" ht="22.5" thickBot="1" x14ac:dyDescent="0.4">
      <c r="C219" s="51" t="str">
        <f>IF(O213:O219="Ынта төмендеді","1. Жеке тапсырма беру; 2. Практикалық мысалдар келтіру; 3. Шағын мақсаттар қою; 4. Оқушының пікірін сұрау; 5. Ойын элементтерін қосу",
IF(AND(N216&gt;3, N218&gt;3), "1. Базалық білімді қалпына келтіру; 2. Қосымша сабақтар; 3. Жеңіл тапсырмалар арқылы сәттілік сезімін ояту; 4. Ата-анамен байланыс; 5. Пәнді өмірмен байланыстыру",
 "Ынта қалыпты, ынталандыруды жалғастыру"))</f>
        <v>Ынта қалыпты, ынталандыруды жалғастыру</v>
      </c>
      <c r="D219" s="52"/>
      <c r="E219" s="52"/>
      <c r="F219" s="52"/>
      <c r="G219" s="52"/>
      <c r="H219" s="52"/>
      <c r="I219" s="52"/>
      <c r="J219" s="52"/>
      <c r="K219" s="52"/>
      <c r="L219" s="52"/>
      <c r="N219" s="29">
        <f>SUM(N216)</f>
        <v>0</v>
      </c>
      <c r="O219" s="29"/>
      <c r="P219" s="30">
        <f>ROUNDDOWN(N219, 0)</f>
        <v>0</v>
      </c>
    </row>
    <row r="220" spans="1:17" x14ac:dyDescent="0.35">
      <c r="N220" s="25" t="s">
        <v>153</v>
      </c>
      <c r="P220" s="25">
        <v>2</v>
      </c>
    </row>
    <row r="221" spans="1:17" x14ac:dyDescent="0.35">
      <c r="N221" s="25" t="s">
        <v>152</v>
      </c>
      <c r="P221" s="4">
        <f>COUNTIF(P18:P220, "&gt;3")</f>
        <v>23</v>
      </c>
    </row>
    <row r="222" spans="1:17" x14ac:dyDescent="0.35">
      <c r="A222" s="24" t="s">
        <v>148</v>
      </c>
      <c r="N222" s="25" t="s">
        <v>150</v>
      </c>
      <c r="P222" s="26">
        <f>SUM(P221/A211*100)</f>
        <v>88.461538461538453</v>
      </c>
    </row>
    <row r="223" spans="1:17" x14ac:dyDescent="0.35">
      <c r="N223" s="25" t="s">
        <v>151</v>
      </c>
      <c r="P223" s="26">
        <v>100</v>
      </c>
    </row>
    <row r="224" spans="1:17" x14ac:dyDescent="0.35">
      <c r="A224" s="24" t="s">
        <v>149</v>
      </c>
    </row>
    <row r="225" spans="1:1" x14ac:dyDescent="0.35">
      <c r="A225" s="24"/>
    </row>
  </sheetData>
  <mergeCells count="87">
    <mergeCell ref="C211:L211"/>
    <mergeCell ref="C219:L219"/>
    <mergeCell ref="C170:L170"/>
    <mergeCell ref="C178:L178"/>
    <mergeCell ref="C186:L186"/>
    <mergeCell ref="C194:L194"/>
    <mergeCell ref="C202:L202"/>
    <mergeCell ref="C130:L130"/>
    <mergeCell ref="C138:L138"/>
    <mergeCell ref="C146:L146"/>
    <mergeCell ref="C154:L154"/>
    <mergeCell ref="C162:L162"/>
    <mergeCell ref="C90:L90"/>
    <mergeCell ref="C98:L98"/>
    <mergeCell ref="C106:L106"/>
    <mergeCell ref="C114:L114"/>
    <mergeCell ref="C122:L122"/>
    <mergeCell ref="C50:L50"/>
    <mergeCell ref="C58:L58"/>
    <mergeCell ref="C66:L66"/>
    <mergeCell ref="C74:L74"/>
    <mergeCell ref="C82:L82"/>
    <mergeCell ref="C18:L18"/>
    <mergeCell ref="C10:L10"/>
    <mergeCell ref="C26:L26"/>
    <mergeCell ref="C34:L34"/>
    <mergeCell ref="C42:L42"/>
    <mergeCell ref="G8:G9"/>
    <mergeCell ref="H8:H9"/>
    <mergeCell ref="J8:J9"/>
    <mergeCell ref="L8:L9"/>
    <mergeCell ref="A8:A9"/>
    <mergeCell ref="B8:B9"/>
    <mergeCell ref="C8:C9"/>
    <mergeCell ref="E8:E9"/>
    <mergeCell ref="F8:F9"/>
    <mergeCell ref="A10:A17"/>
    <mergeCell ref="B10:B17"/>
    <mergeCell ref="A18:A25"/>
    <mergeCell ref="B18:B25"/>
    <mergeCell ref="A26:A33"/>
    <mergeCell ref="B26:B33"/>
    <mergeCell ref="A34:A41"/>
    <mergeCell ref="B34:B41"/>
    <mergeCell ref="A42:A49"/>
    <mergeCell ref="B42:B49"/>
    <mergeCell ref="A50:A57"/>
    <mergeCell ref="B50:B57"/>
    <mergeCell ref="A58:A65"/>
    <mergeCell ref="B58:B65"/>
    <mergeCell ref="A66:A73"/>
    <mergeCell ref="B66:B73"/>
    <mergeCell ref="A74:A81"/>
    <mergeCell ref="B74:B81"/>
    <mergeCell ref="A82:A89"/>
    <mergeCell ref="B82:B89"/>
    <mergeCell ref="A90:A97"/>
    <mergeCell ref="B90:B97"/>
    <mergeCell ref="A98:A105"/>
    <mergeCell ref="B98:B105"/>
    <mergeCell ref="A106:A113"/>
    <mergeCell ref="B106:B113"/>
    <mergeCell ref="A114:A121"/>
    <mergeCell ref="B114:B121"/>
    <mergeCell ref="A122:A129"/>
    <mergeCell ref="B122:B129"/>
    <mergeCell ref="A130:A137"/>
    <mergeCell ref="B130:B137"/>
    <mergeCell ref="A138:A145"/>
    <mergeCell ref="B138:B145"/>
    <mergeCell ref="A146:A153"/>
    <mergeCell ref="B146:B153"/>
    <mergeCell ref="A154:A161"/>
    <mergeCell ref="B154:B161"/>
    <mergeCell ref="A162:A169"/>
    <mergeCell ref="B162:B169"/>
    <mergeCell ref="A170:A177"/>
    <mergeCell ref="B170:B177"/>
    <mergeCell ref="A202:A209"/>
    <mergeCell ref="B202:B209"/>
    <mergeCell ref="B211:B218"/>
    <mergeCell ref="A178:A185"/>
    <mergeCell ref="B178:B185"/>
    <mergeCell ref="A186:A193"/>
    <mergeCell ref="B186:B193"/>
    <mergeCell ref="A194:A201"/>
    <mergeCell ref="B194:B20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Predmet</vt:lpstr>
      <vt:lpstr>Kl ruk</vt:lpstr>
      <vt:lpstr>Deti</vt:lpstr>
      <vt:lpstr>5A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dcterms:created xsi:type="dcterms:W3CDTF">2026-05-29T04:54:21Z</dcterms:created>
  <dcterms:modified xsi:type="dcterms:W3CDTF">2026-06-01T04:18:21Z</dcterms:modified>
</cp:coreProperties>
</file>