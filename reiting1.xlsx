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C5F2AE86-A0CC-4625-8EA1-69AB52381876}" xr6:coauthVersionLast="47" xr6:coauthVersionMax="47" xr10:uidLastSave="{00000000-0000-0000-0000-000000000000}"/>
  <bookViews>
    <workbookView xWindow="3420" yWindow="1770" windowWidth="16365" windowHeight="10695" xr2:uid="{65B562F7-4CCD-46A4-AA6C-D53DA83FA9FC}"/>
  </bookViews>
  <sheets>
    <sheet name="Predme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4" i="1" l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Z4" i="1"/>
  <c r="AD4" i="1" s="1"/>
  <c r="S4" i="1"/>
  <c r="AC4" i="1" s="1"/>
  <c r="L4" i="1"/>
  <c r="AB4" i="1" s="1"/>
  <c r="G4" i="1"/>
  <c r="Z3" i="1"/>
  <c r="AD3" i="1" s="1"/>
  <c r="S3" i="1"/>
  <c r="AC3" i="1" s="1"/>
  <c r="L3" i="1"/>
  <c r="AB3" i="1" s="1"/>
  <c r="G3" i="1"/>
  <c r="Z2" i="1"/>
  <c r="AD2" i="1" s="1"/>
  <c r="S2" i="1"/>
  <c r="AC2" i="1" s="1"/>
  <c r="L2" i="1"/>
  <c r="AB2" i="1" s="1"/>
  <c r="G2" i="1"/>
  <c r="AA2" i="1" s="1"/>
  <c r="AE7" i="1" l="1"/>
  <c r="AE8" i="1"/>
  <c r="AE9" i="1"/>
  <c r="AE10" i="1"/>
  <c r="AE11" i="1"/>
  <c r="AE12" i="1"/>
  <c r="AE13" i="1"/>
  <c r="AE14" i="1"/>
  <c r="AE3" i="1"/>
  <c r="AE5" i="1"/>
  <c r="AE6" i="1"/>
  <c r="AE4" i="1"/>
  <c r="AA3" i="1"/>
  <c r="AA7" i="1"/>
  <c r="AA11" i="1"/>
  <c r="AA4" i="1"/>
  <c r="AA8" i="1"/>
  <c r="AA12" i="1"/>
  <c r="AA5" i="1"/>
  <c r="AA9" i="1"/>
  <c r="AA13" i="1"/>
  <c r="AA6" i="1"/>
  <c r="AA10" i="1"/>
  <c r="AA14" i="1"/>
  <c r="AE2" i="1"/>
</calcChain>
</file>

<file path=xl/sharedStrings.xml><?xml version="1.0" encoding="utf-8"?>
<sst xmlns="http://schemas.openxmlformats.org/spreadsheetml/2006/main" count="57" uniqueCount="52">
  <si>
    <t>ФИО</t>
  </si>
  <si>
    <t>Предмет</t>
  </si>
  <si>
    <t>Математика</t>
  </si>
  <si>
    <t>Результативность по предмету</t>
  </si>
  <si>
    <t>Итог</t>
  </si>
  <si>
    <t>Внекласная работа по предмету</t>
  </si>
  <si>
    <t>Методическая деятельность</t>
  </si>
  <si>
    <t>Участие в конкурсах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</si>
  <si>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</si>
  <si>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</si>
  <si>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</si>
  <si>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</si>
  <si>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</si>
  <si>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</si>
  <si>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</si>
  <si>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</si>
  <si>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</si>
  <si>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</si>
  <si>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</si>
  <si>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</si>
  <si>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</si>
  <si>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</si>
  <si>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</si>
  <si>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</si>
  <si>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</si>
  <si>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</si>
  <si>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</si>
  <si>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</si>
  <si>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</si>
  <si>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</si>
  <si>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</si>
  <si>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</si>
  <si>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</si>
  <si>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</si>
  <si>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</si>
  <si>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</si>
  <si>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МОМЫНОВ Қуат</t>
  </si>
  <si>
    <t>Ср балл по предмету</t>
  </si>
  <si>
    <t>кол-во итоговых троек</t>
  </si>
  <si>
    <t>места учащихся на районных (3 балла), городских (4 балла), областных (5 баллов)</t>
  </si>
  <si>
    <t>места  школьных олимпиадах, конкурсах (1-2балл,2-1б, 3место-0,5б)</t>
  </si>
  <si>
    <t>провед  внекл. мероприятия(1-3баллов)</t>
  </si>
  <si>
    <t xml:space="preserve"> проведение  предметных конкурсов(1-2балл)</t>
  </si>
  <si>
    <t>Итог Внекл.работа</t>
  </si>
  <si>
    <t>метод. материалов с рецензией Өрлеу(до 5 баллов)</t>
  </si>
  <si>
    <t>Выступлений на педсоветах, семинарах (до 4 баллов)</t>
  </si>
  <si>
    <t>метод. выставка (до 3 баллов)</t>
  </si>
  <si>
    <t xml:space="preserve">Обобщение опыта (до 3 баллов) </t>
  </si>
  <si>
    <t>опубликованные метод. материалы (до 3 баллов)</t>
  </si>
  <si>
    <t>Итог метод. деятельности</t>
  </si>
  <si>
    <t>Коэф предмета</t>
  </si>
  <si>
    <t>номер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</si>
</sst>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0" fillId="0" borderId="2" xfId="0" applyBorder="1" applyAlignment="1">
      <alignment wrapText="1"/>
    </xf>
    <xf numFmtId="0" fontId="0" fillId="0" borderId="2" xfId="0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C261-A0E3-4677-8613-0B16F5D0CE28}">
  <dimension ref="A1:AF14"/>
  <sheetViews>
    <sheetView tabSelected="1" topLeftCell="A2" workbookViewId="0">
      <selection activeCell="D8" sqref="D8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3"/>
  </cols>
  <sheetData>
    <row r="1" spans="1:32" s="1" customFormat="1" ht="111" customHeight="1" x14ac:dyDescent="0.25">
      <c r="A1" s="13" t="s">
        <v>51</v>
      </c>
      <c r="B1" s="13" t="s">
        <v>0</v>
      </c>
      <c r="C1" s="13" t="s">
        <v>1</v>
      </c>
      <c r="D1" s="12" t="s">
        <v>50</v>
      </c>
      <c r="E1" s="4" t="s">
        <v>37</v>
      </c>
      <c r="F1" s="4" t="s">
        <v>38</v>
      </c>
      <c r="G1" s="4" t="s">
        <v>4</v>
      </c>
      <c r="H1" s="4" t="s">
        <v>40</v>
      </c>
      <c r="I1" s="4" t="s">
        <v>39</v>
      </c>
      <c r="J1" s="4" t="s">
        <v>42</v>
      </c>
      <c r="K1" s="4" t="s">
        <v>41</v>
      </c>
      <c r="L1" s="4" t="s">
        <v>43</v>
      </c>
      <c r="M1" s="4" t="s">
        <v>7</v>
      </c>
      <c r="N1" s="4" t="s">
        <v>44</v>
      </c>
      <c r="O1" s="4" t="s">
        <v>45</v>
      </c>
      <c r="P1" s="4" t="s">
        <v>46</v>
      </c>
      <c r="Q1" s="4" t="s">
        <v>47</v>
      </c>
      <c r="R1" s="4" t="s">
        <v>48</v>
      </c>
      <c r="S1" s="4" t="s">
        <v>49</v>
      </c>
      <c r="T1" s="4" t="s">
        <v>9</v>
      </c>
      <c r="U1" s="4" t="s">
        <v>10</v>
      </c>
      <c r="V1" s="4" t="s">
        <v>11</v>
      </c>
      <c r="W1" s="4" t="s">
        <v>12</v>
      </c>
      <c r="X1" s="4" t="s">
        <v>14</v>
      </c>
      <c r="Y1" s="4" t="s">
        <v>15</v>
      </c>
      <c r="Z1" s="4" t="s">
        <v>13</v>
      </c>
      <c r="AA1" s="4" t="s">
        <v>3</v>
      </c>
      <c r="AB1" s="4" t="s">
        <v>5</v>
      </c>
      <c r="AC1" s="4" t="s">
        <v>6</v>
      </c>
      <c r="AD1" s="4" t="s">
        <v>8</v>
      </c>
      <c r="AE1" s="5" t="s">
        <v>16</v>
      </c>
      <c r="AF1" s="2"/>
    </row>
    <row r="2" spans="1:32" x14ac:dyDescent="0.25">
      <c r="A2" s="6">
        <v>1</v>
      </c>
      <c r="B2" t="s">
        <v>22</v>
      </c>
      <c r="C2" s="6" t="s">
        <v>2</v>
      </c>
      <c r="D2" s="6">
        <v>1.1000000000000001</v>
      </c>
      <c r="E2" s="6">
        <v>4.3</v>
      </c>
      <c r="F2" s="6">
        <v>11</v>
      </c>
      <c r="G2" s="7">
        <f>SUM(E2-D2-F2)</f>
        <v>-7.8000000000000007</v>
      </c>
      <c r="H2" s="6">
        <v>1</v>
      </c>
      <c r="I2" s="6">
        <v>3</v>
      </c>
      <c r="J2" s="6">
        <v>1</v>
      </c>
      <c r="K2" s="6">
        <v>1</v>
      </c>
      <c r="L2" s="8">
        <f>SUM(H2+I2+J2+K2)</f>
        <v>6</v>
      </c>
      <c r="M2" s="6">
        <v>1</v>
      </c>
      <c r="N2" s="6">
        <v>1</v>
      </c>
      <c r="O2" s="6">
        <v>4</v>
      </c>
      <c r="P2" s="6">
        <v>3</v>
      </c>
      <c r="Q2" s="6">
        <v>2</v>
      </c>
      <c r="R2" s="6">
        <v>3</v>
      </c>
      <c r="S2" s="9">
        <f>SUM(M2+N2+O2+P2+Q2+R2)</f>
        <v>14</v>
      </c>
      <c r="T2" s="6">
        <v>2</v>
      </c>
      <c r="U2" s="6">
        <v>4</v>
      </c>
      <c r="V2" s="6">
        <v>2</v>
      </c>
      <c r="W2" s="6">
        <v>3</v>
      </c>
      <c r="X2" s="6">
        <v>3</v>
      </c>
      <c r="Y2" s="6">
        <v>-6</v>
      </c>
      <c r="Z2" s="10">
        <f>SUM(T2+U2+V2+W2+X2+Y2)</f>
        <v>8</v>
      </c>
      <c r="AA2" s="7">
        <f>SUM(G2)</f>
        <v>-7.8000000000000007</v>
      </c>
      <c r="AB2" s="8">
        <f>SUM(L2)</f>
        <v>6</v>
      </c>
      <c r="AC2" s="9">
        <f>SUM(S2)</f>
        <v>14</v>
      </c>
      <c r="AD2" s="10">
        <f>SUM(Z2)</f>
        <v>8</v>
      </c>
      <c r="AE2" s="11">
        <f>SUM(G2+L2+S2+Z2)</f>
        <v>20.2</v>
      </c>
    </row>
    <row r="3" spans="1:32" x14ac:dyDescent="0.25">
      <c r="A3" s="6">
        <v>2</v>
      </c>
      <c r="B3" t="s">
        <v>17</v>
      </c>
      <c r="C3" s="6" t="s">
        <v>29</v>
      </c>
      <c r="D3" s="6">
        <v>1</v>
      </c>
      <c r="E3" s="6">
        <v>4.5</v>
      </c>
      <c r="F3" s="6">
        <v>8</v>
      </c>
      <c r="G3" s="7">
        <f t="shared" ref="G3:G14" si="0">SUM(E3-D3-F3)</f>
        <v>-4.5</v>
      </c>
      <c r="H3" s="6">
        <v>1</v>
      </c>
      <c r="I3" s="6">
        <v>2</v>
      </c>
      <c r="J3" s="6">
        <v>1</v>
      </c>
      <c r="K3" s="6">
        <v>2</v>
      </c>
      <c r="L3" s="8">
        <f t="shared" ref="L3:L14" si="1">SUM(H3+I3+J3+K3)</f>
        <v>6</v>
      </c>
      <c r="M3" s="6">
        <v>1</v>
      </c>
      <c r="N3" s="6">
        <v>1</v>
      </c>
      <c r="O3" s="6">
        <v>4</v>
      </c>
      <c r="P3" s="6">
        <v>3</v>
      </c>
      <c r="Q3" s="6">
        <v>3</v>
      </c>
      <c r="R3" s="6">
        <v>3</v>
      </c>
      <c r="S3" s="9">
        <f t="shared" ref="S3:S14" si="2">SUM(M3+N3+O3+P3+Q3+R3)</f>
        <v>15</v>
      </c>
      <c r="T3" s="6">
        <v>2</v>
      </c>
      <c r="U3" s="6">
        <v>2</v>
      </c>
      <c r="V3" s="6">
        <v>3</v>
      </c>
      <c r="W3" s="6">
        <v>3</v>
      </c>
      <c r="X3" s="6">
        <v>3</v>
      </c>
      <c r="Y3" s="6">
        <v>-6</v>
      </c>
      <c r="Z3" s="10">
        <f t="shared" ref="Z3:Z14" si="3">SUM(T3+U3+V3+W3+X3+Y3)</f>
        <v>7</v>
      </c>
      <c r="AA3" s="7">
        <f t="shared" ref="AA3:AA14" si="4">SUM(G3)</f>
        <v>-4.5</v>
      </c>
      <c r="AB3" s="8">
        <f t="shared" ref="AB3:AB14" si="5">SUM(L3)</f>
        <v>6</v>
      </c>
      <c r="AC3" s="9">
        <f t="shared" ref="AC3:AC14" si="6">SUM(S3)</f>
        <v>15</v>
      </c>
      <c r="AD3" s="10">
        <f t="shared" ref="AD3:AD14" si="7">SUM(Z3)</f>
        <v>7</v>
      </c>
      <c r="AE3" s="11">
        <f t="shared" ref="AE3:AE14" si="8">SUM(G3+L3+S3+Z3)</f>
        <v>23.5</v>
      </c>
    </row>
    <row r="4" spans="1:32" x14ac:dyDescent="0.25">
      <c r="A4" s="6">
        <v>3</v>
      </c>
      <c r="B4" t="s">
        <v>18</v>
      </c>
      <c r="C4" s="6" t="s">
        <v>2</v>
      </c>
      <c r="D4" s="6">
        <v>1.1000000000000001</v>
      </c>
      <c r="E4" s="6">
        <v>4.7</v>
      </c>
      <c r="F4" s="6">
        <v>9</v>
      </c>
      <c r="G4" s="7">
        <f t="shared" si="0"/>
        <v>-5.4</v>
      </c>
      <c r="H4" s="6">
        <v>2</v>
      </c>
      <c r="I4" s="6">
        <v>4</v>
      </c>
      <c r="J4" s="6">
        <v>1</v>
      </c>
      <c r="K4" s="6">
        <v>1</v>
      </c>
      <c r="L4" s="8">
        <f t="shared" si="1"/>
        <v>8</v>
      </c>
      <c r="M4" s="6">
        <v>3</v>
      </c>
      <c r="N4" s="6">
        <v>2</v>
      </c>
      <c r="O4" s="6">
        <v>4</v>
      </c>
      <c r="P4" s="6">
        <v>3</v>
      </c>
      <c r="Q4" s="6">
        <v>2</v>
      </c>
      <c r="R4" s="6">
        <v>3</v>
      </c>
      <c r="S4" s="9">
        <f t="shared" si="2"/>
        <v>17</v>
      </c>
      <c r="T4" s="6">
        <v>2</v>
      </c>
      <c r="U4" s="6">
        <v>3</v>
      </c>
      <c r="V4" s="6">
        <v>2</v>
      </c>
      <c r="W4" s="6">
        <v>3</v>
      </c>
      <c r="X4" s="6">
        <v>3</v>
      </c>
      <c r="Y4" s="6">
        <v>-6</v>
      </c>
      <c r="Z4" s="10">
        <f t="shared" si="3"/>
        <v>7</v>
      </c>
      <c r="AA4" s="7">
        <f t="shared" si="4"/>
        <v>-5.4</v>
      </c>
      <c r="AB4" s="8">
        <f t="shared" si="5"/>
        <v>8</v>
      </c>
      <c r="AC4" s="9">
        <f t="shared" si="6"/>
        <v>17</v>
      </c>
      <c r="AD4" s="10">
        <f t="shared" si="7"/>
        <v>7</v>
      </c>
      <c r="AE4" s="11">
        <f t="shared" si="8"/>
        <v>26.6</v>
      </c>
    </row>
    <row r="5" spans="1:32" x14ac:dyDescent="0.25">
      <c r="A5" s="6">
        <v>4</v>
      </c>
      <c r="B5" t="s">
        <v>19</v>
      </c>
      <c r="C5" s="6" t="s">
        <v>30</v>
      </c>
      <c r="D5" s="6">
        <v>0.9</v>
      </c>
      <c r="E5" s="6">
        <v>4.8</v>
      </c>
      <c r="F5" s="6">
        <v>5</v>
      </c>
      <c r="G5" s="7">
        <f t="shared" si="0"/>
        <v>-1.1000000000000001</v>
      </c>
      <c r="H5" s="6">
        <v>1</v>
      </c>
      <c r="I5" s="6">
        <v>5</v>
      </c>
      <c r="J5" s="6">
        <v>1</v>
      </c>
      <c r="K5" s="6">
        <v>1</v>
      </c>
      <c r="L5" s="8">
        <f t="shared" si="1"/>
        <v>8</v>
      </c>
      <c r="M5" s="6">
        <v>3</v>
      </c>
      <c r="N5" s="6">
        <v>3</v>
      </c>
      <c r="O5" s="6">
        <v>4</v>
      </c>
      <c r="P5" s="6">
        <v>3</v>
      </c>
      <c r="Q5" s="6">
        <v>3</v>
      </c>
      <c r="R5" s="6">
        <v>2</v>
      </c>
      <c r="S5" s="9">
        <f t="shared" si="2"/>
        <v>18</v>
      </c>
      <c r="T5" s="6">
        <v>1</v>
      </c>
      <c r="U5" s="6">
        <v>4</v>
      </c>
      <c r="V5" s="6">
        <v>3</v>
      </c>
      <c r="W5" s="6">
        <v>3</v>
      </c>
      <c r="X5" s="6">
        <v>3</v>
      </c>
      <c r="Y5" s="6">
        <v>-6</v>
      </c>
      <c r="Z5" s="10">
        <f t="shared" si="3"/>
        <v>8</v>
      </c>
      <c r="AA5" s="7">
        <f t="shared" si="4"/>
        <v>-1.1000000000000001</v>
      </c>
      <c r="AB5" s="8">
        <f t="shared" si="5"/>
        <v>8</v>
      </c>
      <c r="AC5" s="9">
        <f t="shared" si="6"/>
        <v>18</v>
      </c>
      <c r="AD5" s="10">
        <f t="shared" si="7"/>
        <v>8</v>
      </c>
      <c r="AE5" s="11">
        <f t="shared" si="8"/>
        <v>32.9</v>
      </c>
    </row>
    <row r="6" spans="1:32" x14ac:dyDescent="0.25">
      <c r="A6" s="6">
        <v>5</v>
      </c>
      <c r="B6" t="s">
        <v>20</v>
      </c>
      <c r="C6" s="6" t="s">
        <v>32</v>
      </c>
      <c r="D6" s="6">
        <v>1.1000000000000001</v>
      </c>
      <c r="E6" s="6">
        <v>4.7</v>
      </c>
      <c r="F6" s="6">
        <v>3</v>
      </c>
      <c r="G6" s="7">
        <f t="shared" si="0"/>
        <v>0.60000000000000009</v>
      </c>
      <c r="H6" s="6">
        <v>2</v>
      </c>
      <c r="I6" s="6">
        <v>2</v>
      </c>
      <c r="J6" s="6">
        <v>2</v>
      </c>
      <c r="K6" s="6">
        <v>1</v>
      </c>
      <c r="L6" s="8">
        <f t="shared" si="1"/>
        <v>7</v>
      </c>
      <c r="M6" s="6"/>
      <c r="N6" s="6">
        <v>4</v>
      </c>
      <c r="O6" s="6">
        <v>4</v>
      </c>
      <c r="P6" s="6">
        <v>3</v>
      </c>
      <c r="Q6" s="6">
        <v>2</v>
      </c>
      <c r="R6" s="6">
        <v>3</v>
      </c>
      <c r="S6" s="9">
        <f t="shared" si="2"/>
        <v>16</v>
      </c>
      <c r="T6" s="6">
        <v>2</v>
      </c>
      <c r="U6" s="6">
        <v>2</v>
      </c>
      <c r="V6" s="6">
        <v>2</v>
      </c>
      <c r="W6" s="6">
        <v>3</v>
      </c>
      <c r="X6" s="6">
        <v>3</v>
      </c>
      <c r="Y6" s="6">
        <v>-6</v>
      </c>
      <c r="Z6" s="10">
        <f t="shared" si="3"/>
        <v>6</v>
      </c>
      <c r="AA6" s="7">
        <f t="shared" si="4"/>
        <v>0.60000000000000009</v>
      </c>
      <c r="AB6" s="8">
        <f t="shared" si="5"/>
        <v>7</v>
      </c>
      <c r="AC6" s="9">
        <f t="shared" si="6"/>
        <v>16</v>
      </c>
      <c r="AD6" s="10">
        <f t="shared" si="7"/>
        <v>6</v>
      </c>
      <c r="AE6" s="11">
        <f t="shared" si="8"/>
        <v>29.6</v>
      </c>
    </row>
    <row r="7" spans="1:32" x14ac:dyDescent="0.25">
      <c r="A7" s="6">
        <v>6</v>
      </c>
      <c r="B7" t="s">
        <v>21</v>
      </c>
      <c r="C7" s="6" t="s">
        <v>31</v>
      </c>
      <c r="D7" s="6">
        <v>0.9</v>
      </c>
      <c r="E7" s="6">
        <v>4.7</v>
      </c>
      <c r="F7" s="6">
        <v>4</v>
      </c>
      <c r="G7" s="7">
        <f t="shared" si="0"/>
        <v>-0.19999999999999973</v>
      </c>
      <c r="H7" s="6">
        <v>2</v>
      </c>
      <c r="I7" s="6">
        <v>2</v>
      </c>
      <c r="J7" s="6">
        <v>1</v>
      </c>
      <c r="K7" s="6">
        <v>2</v>
      </c>
      <c r="L7" s="8">
        <f t="shared" si="1"/>
        <v>7</v>
      </c>
      <c r="M7" s="6">
        <v>3</v>
      </c>
      <c r="N7" s="6">
        <v>1</v>
      </c>
      <c r="O7" s="6">
        <v>4</v>
      </c>
      <c r="P7" s="6">
        <v>2</v>
      </c>
      <c r="Q7" s="6">
        <v>2</v>
      </c>
      <c r="R7" s="6">
        <v>2</v>
      </c>
      <c r="S7" s="9">
        <f t="shared" si="2"/>
        <v>14</v>
      </c>
      <c r="T7" s="6">
        <v>2</v>
      </c>
      <c r="U7" s="6">
        <v>3</v>
      </c>
      <c r="V7" s="6">
        <v>3</v>
      </c>
      <c r="W7" s="6">
        <v>3</v>
      </c>
      <c r="X7" s="6">
        <v>2</v>
      </c>
      <c r="Y7" s="6">
        <v>-6</v>
      </c>
      <c r="Z7" s="10">
        <f t="shared" si="3"/>
        <v>7</v>
      </c>
      <c r="AA7" s="7">
        <f t="shared" si="4"/>
        <v>-0.19999999999999973</v>
      </c>
      <c r="AB7" s="8">
        <f t="shared" si="5"/>
        <v>7</v>
      </c>
      <c r="AC7" s="9">
        <f t="shared" si="6"/>
        <v>14</v>
      </c>
      <c r="AD7" s="10">
        <f t="shared" si="7"/>
        <v>7</v>
      </c>
      <c r="AE7" s="11">
        <f t="shared" si="8"/>
        <v>27.8</v>
      </c>
    </row>
    <row r="8" spans="1:32" x14ac:dyDescent="0.25">
      <c r="A8" s="6">
        <v>7</v>
      </c>
      <c r="B8" t="s">
        <v>23</v>
      </c>
      <c r="C8" s="6" t="s">
        <v>32</v>
      </c>
      <c r="D8" s="6">
        <v>1</v>
      </c>
      <c r="E8" s="6">
        <v>4.5999999999999996</v>
      </c>
      <c r="F8" s="6">
        <v>7</v>
      </c>
      <c r="G8" s="7">
        <f t="shared" si="0"/>
        <v>-3.4000000000000004</v>
      </c>
      <c r="H8" s="6">
        <v>3</v>
      </c>
      <c r="I8" s="6">
        <v>2</v>
      </c>
      <c r="J8" s="6">
        <v>1</v>
      </c>
      <c r="K8" s="6">
        <v>3</v>
      </c>
      <c r="L8" s="8">
        <f t="shared" si="1"/>
        <v>9</v>
      </c>
      <c r="M8" s="6">
        <v>3</v>
      </c>
      <c r="N8" s="6">
        <v>2</v>
      </c>
      <c r="O8" s="6">
        <v>4</v>
      </c>
      <c r="P8" s="6">
        <v>3</v>
      </c>
      <c r="Q8" s="6">
        <v>2</v>
      </c>
      <c r="R8" s="6">
        <v>3</v>
      </c>
      <c r="S8" s="9">
        <f t="shared" si="2"/>
        <v>17</v>
      </c>
      <c r="T8" s="6">
        <v>3</v>
      </c>
      <c r="U8" s="6">
        <v>4</v>
      </c>
      <c r="V8" s="6">
        <v>2</v>
      </c>
      <c r="W8" s="6">
        <v>3</v>
      </c>
      <c r="X8" s="6">
        <v>3</v>
      </c>
      <c r="Y8" s="6">
        <v>-6</v>
      </c>
      <c r="Z8" s="10">
        <f t="shared" si="3"/>
        <v>9</v>
      </c>
      <c r="AA8" s="7">
        <f t="shared" si="4"/>
        <v>-3.4000000000000004</v>
      </c>
      <c r="AB8" s="8">
        <f t="shared" si="5"/>
        <v>9</v>
      </c>
      <c r="AC8" s="9">
        <f t="shared" si="6"/>
        <v>17</v>
      </c>
      <c r="AD8" s="10">
        <f t="shared" si="7"/>
        <v>9</v>
      </c>
      <c r="AE8" s="11">
        <f t="shared" si="8"/>
        <v>31.6</v>
      </c>
    </row>
    <row r="9" spans="1:32" x14ac:dyDescent="0.25">
      <c r="A9" s="6">
        <v>8</v>
      </c>
      <c r="B9" t="s">
        <v>24</v>
      </c>
      <c r="C9" s="6" t="s">
        <v>33</v>
      </c>
      <c r="D9" s="6">
        <v>0.8</v>
      </c>
      <c r="E9" s="6">
        <v>4.5</v>
      </c>
      <c r="F9" s="6">
        <v>10</v>
      </c>
      <c r="G9" s="7">
        <f t="shared" si="0"/>
        <v>-6.3</v>
      </c>
      <c r="H9" s="6">
        <v>2</v>
      </c>
      <c r="I9" s="6">
        <v>1</v>
      </c>
      <c r="J9" s="6">
        <v>2</v>
      </c>
      <c r="K9" s="6">
        <v>3</v>
      </c>
      <c r="L9" s="8">
        <f t="shared" si="1"/>
        <v>8</v>
      </c>
      <c r="M9" s="6">
        <v>3</v>
      </c>
      <c r="N9" s="6">
        <v>5</v>
      </c>
      <c r="O9" s="6">
        <v>4</v>
      </c>
      <c r="P9" s="6">
        <v>3</v>
      </c>
      <c r="Q9" s="6">
        <v>2</v>
      </c>
      <c r="R9" s="6">
        <v>3</v>
      </c>
      <c r="S9" s="9">
        <f t="shared" si="2"/>
        <v>20</v>
      </c>
      <c r="T9" s="6">
        <v>2</v>
      </c>
      <c r="U9" s="6">
        <v>2</v>
      </c>
      <c r="V9" s="6">
        <v>3</v>
      </c>
      <c r="W9" s="6">
        <v>3</v>
      </c>
      <c r="X9" s="6">
        <v>3</v>
      </c>
      <c r="Y9" s="6">
        <v>-6</v>
      </c>
      <c r="Z9" s="10">
        <f t="shared" si="3"/>
        <v>7</v>
      </c>
      <c r="AA9" s="7">
        <f t="shared" si="4"/>
        <v>-6.3</v>
      </c>
      <c r="AB9" s="8">
        <f t="shared" si="5"/>
        <v>8</v>
      </c>
      <c r="AC9" s="9">
        <f t="shared" si="6"/>
        <v>20</v>
      </c>
      <c r="AD9" s="10">
        <f t="shared" si="7"/>
        <v>7</v>
      </c>
      <c r="AE9" s="11">
        <f t="shared" si="8"/>
        <v>28.7</v>
      </c>
    </row>
    <row r="10" spans="1:32" x14ac:dyDescent="0.25">
      <c r="A10" s="6">
        <v>9</v>
      </c>
      <c r="B10" t="s">
        <v>25</v>
      </c>
      <c r="C10" s="6" t="s">
        <v>31</v>
      </c>
      <c r="D10" s="6">
        <v>0.9</v>
      </c>
      <c r="E10" s="6">
        <v>4.0999999999999996</v>
      </c>
      <c r="F10" s="6">
        <v>8</v>
      </c>
      <c r="G10" s="7">
        <f t="shared" si="0"/>
        <v>-4.8000000000000007</v>
      </c>
      <c r="H10" s="6">
        <v>2</v>
      </c>
      <c r="I10" s="6">
        <v>2</v>
      </c>
      <c r="J10" s="6">
        <v>1</v>
      </c>
      <c r="K10" s="6">
        <v>2</v>
      </c>
      <c r="L10" s="8">
        <f t="shared" si="1"/>
        <v>7</v>
      </c>
      <c r="M10" s="6">
        <v>2</v>
      </c>
      <c r="N10" s="6">
        <v>1</v>
      </c>
      <c r="O10" s="6">
        <v>4</v>
      </c>
      <c r="P10" s="6">
        <v>2</v>
      </c>
      <c r="Q10" s="6">
        <v>2</v>
      </c>
      <c r="R10" s="6">
        <v>2</v>
      </c>
      <c r="S10" s="9">
        <f t="shared" si="2"/>
        <v>13</v>
      </c>
      <c r="T10" s="6">
        <v>2</v>
      </c>
      <c r="U10" s="6">
        <v>3</v>
      </c>
      <c r="V10" s="6">
        <v>2</v>
      </c>
      <c r="W10" s="6">
        <v>3</v>
      </c>
      <c r="X10" s="6">
        <v>2</v>
      </c>
      <c r="Y10" s="6">
        <v>-6</v>
      </c>
      <c r="Z10" s="10">
        <f t="shared" si="3"/>
        <v>6</v>
      </c>
      <c r="AA10" s="7">
        <f t="shared" si="4"/>
        <v>-4.8000000000000007</v>
      </c>
      <c r="AB10" s="8">
        <f t="shared" si="5"/>
        <v>7</v>
      </c>
      <c r="AC10" s="9">
        <f t="shared" si="6"/>
        <v>13</v>
      </c>
      <c r="AD10" s="10">
        <f t="shared" si="7"/>
        <v>6</v>
      </c>
      <c r="AE10" s="11">
        <f t="shared" si="8"/>
        <v>21.2</v>
      </c>
    </row>
    <row r="11" spans="1:32" x14ac:dyDescent="0.25">
      <c r="A11" s="6">
        <v>10</v>
      </c>
      <c r="B11" t="s">
        <v>26</v>
      </c>
      <c r="C11" s="6" t="s">
        <v>32</v>
      </c>
      <c r="D11" s="6">
        <v>1.1000000000000001</v>
      </c>
      <c r="E11" s="6">
        <v>4.9000000000000004</v>
      </c>
      <c r="F11" s="6">
        <v>11</v>
      </c>
      <c r="G11" s="7">
        <f t="shared" si="0"/>
        <v>-7.1999999999999993</v>
      </c>
      <c r="H11" s="6">
        <v>2</v>
      </c>
      <c r="I11" s="6">
        <v>2</v>
      </c>
      <c r="J11" s="6">
        <v>1</v>
      </c>
      <c r="K11" s="6">
        <v>3</v>
      </c>
      <c r="L11" s="8">
        <f t="shared" si="1"/>
        <v>8</v>
      </c>
      <c r="M11" s="6">
        <v>2</v>
      </c>
      <c r="N11" s="6">
        <v>2</v>
      </c>
      <c r="O11" s="6">
        <v>4</v>
      </c>
      <c r="P11" s="6">
        <v>3</v>
      </c>
      <c r="Q11" s="6">
        <v>2</v>
      </c>
      <c r="R11" s="6">
        <v>3</v>
      </c>
      <c r="S11" s="9">
        <f t="shared" si="2"/>
        <v>16</v>
      </c>
      <c r="T11" s="6">
        <v>2</v>
      </c>
      <c r="U11" s="6">
        <v>2</v>
      </c>
      <c r="V11" s="6">
        <v>3</v>
      </c>
      <c r="W11" s="6">
        <v>3</v>
      </c>
      <c r="X11" s="6">
        <v>3</v>
      </c>
      <c r="Y11" s="6">
        <v>-6</v>
      </c>
      <c r="Z11" s="10">
        <f t="shared" si="3"/>
        <v>7</v>
      </c>
      <c r="AA11" s="7">
        <f t="shared" si="4"/>
        <v>-7.1999999999999993</v>
      </c>
      <c r="AB11" s="8">
        <f t="shared" si="5"/>
        <v>8</v>
      </c>
      <c r="AC11" s="9">
        <f t="shared" si="6"/>
        <v>16</v>
      </c>
      <c r="AD11" s="10">
        <f t="shared" si="7"/>
        <v>7</v>
      </c>
      <c r="AE11" s="11">
        <f t="shared" si="8"/>
        <v>23.8</v>
      </c>
    </row>
    <row r="12" spans="1:32" x14ac:dyDescent="0.25">
      <c r="A12" s="6">
        <v>11</v>
      </c>
      <c r="B12" t="s">
        <v>27</v>
      </c>
      <c r="C12" s="6" t="s">
        <v>34</v>
      </c>
      <c r="D12" s="6">
        <v>0.6</v>
      </c>
      <c r="E12" s="6">
        <v>4.3</v>
      </c>
      <c r="F12" s="6">
        <v>3</v>
      </c>
      <c r="G12" s="7">
        <f t="shared" si="0"/>
        <v>0.69999999999999973</v>
      </c>
      <c r="H12" s="6">
        <v>2</v>
      </c>
      <c r="I12" s="6">
        <v>2</v>
      </c>
      <c r="J12" s="6">
        <v>2</v>
      </c>
      <c r="K12" s="6">
        <v>2</v>
      </c>
      <c r="L12" s="8">
        <f t="shared" si="1"/>
        <v>8</v>
      </c>
      <c r="M12" s="6">
        <v>1</v>
      </c>
      <c r="N12" s="6">
        <v>3</v>
      </c>
      <c r="O12" s="6">
        <v>4</v>
      </c>
      <c r="P12" s="6">
        <v>3</v>
      </c>
      <c r="Q12" s="6">
        <v>2</v>
      </c>
      <c r="R12" s="6">
        <v>2</v>
      </c>
      <c r="S12" s="9">
        <f t="shared" si="2"/>
        <v>15</v>
      </c>
      <c r="T12" s="6">
        <v>1</v>
      </c>
      <c r="U12" s="6">
        <v>1</v>
      </c>
      <c r="V12" s="6">
        <v>2</v>
      </c>
      <c r="W12" s="6">
        <v>3</v>
      </c>
      <c r="X12" s="6">
        <v>2</v>
      </c>
      <c r="Y12" s="6">
        <v>-6</v>
      </c>
      <c r="Z12" s="10">
        <f t="shared" si="3"/>
        <v>3</v>
      </c>
      <c r="AA12" s="7">
        <f t="shared" si="4"/>
        <v>0.69999999999999973</v>
      </c>
      <c r="AB12" s="8">
        <f t="shared" si="5"/>
        <v>8</v>
      </c>
      <c r="AC12" s="9">
        <f t="shared" si="6"/>
        <v>15</v>
      </c>
      <c r="AD12" s="10">
        <f t="shared" si="7"/>
        <v>3</v>
      </c>
      <c r="AE12" s="11">
        <f t="shared" si="8"/>
        <v>26.7</v>
      </c>
    </row>
    <row r="13" spans="1:32" x14ac:dyDescent="0.25">
      <c r="A13" s="6">
        <v>12</v>
      </c>
      <c r="B13" t="s">
        <v>28</v>
      </c>
      <c r="C13" s="6" t="s">
        <v>2</v>
      </c>
      <c r="D13" s="6">
        <v>1.1000000000000001</v>
      </c>
      <c r="E13" s="6">
        <v>4.4000000000000004</v>
      </c>
      <c r="F13" s="6">
        <v>10</v>
      </c>
      <c r="G13" s="7">
        <f t="shared" si="0"/>
        <v>-6.6999999999999993</v>
      </c>
      <c r="H13" s="6">
        <v>2</v>
      </c>
      <c r="I13" s="6">
        <v>1</v>
      </c>
      <c r="J13" s="6">
        <v>2</v>
      </c>
      <c r="K13" s="6">
        <v>2</v>
      </c>
      <c r="L13" s="8">
        <f t="shared" si="1"/>
        <v>7</v>
      </c>
      <c r="M13" s="6">
        <v>2</v>
      </c>
      <c r="N13" s="6">
        <v>3</v>
      </c>
      <c r="O13" s="6">
        <v>4</v>
      </c>
      <c r="P13" s="6">
        <v>3</v>
      </c>
      <c r="Q13" s="6">
        <v>2</v>
      </c>
      <c r="R13" s="6">
        <v>3</v>
      </c>
      <c r="S13" s="9">
        <f t="shared" si="2"/>
        <v>17</v>
      </c>
      <c r="T13" s="6">
        <v>2</v>
      </c>
      <c r="U13" s="6">
        <v>2</v>
      </c>
      <c r="V13" s="6">
        <v>2</v>
      </c>
      <c r="W13" s="6">
        <v>3</v>
      </c>
      <c r="X13" s="6">
        <v>2</v>
      </c>
      <c r="Y13" s="6">
        <v>-6</v>
      </c>
      <c r="Z13" s="10">
        <f t="shared" si="3"/>
        <v>5</v>
      </c>
      <c r="AA13" s="7">
        <f t="shared" si="4"/>
        <v>-6.6999999999999993</v>
      </c>
      <c r="AB13" s="8">
        <f t="shared" si="5"/>
        <v>7</v>
      </c>
      <c r="AC13" s="9">
        <f t="shared" si="6"/>
        <v>17</v>
      </c>
      <c r="AD13" s="10">
        <f t="shared" si="7"/>
        <v>5</v>
      </c>
      <c r="AE13" s="11">
        <f t="shared" si="8"/>
        <v>22.3</v>
      </c>
    </row>
    <row r="14" spans="1:32" x14ac:dyDescent="0.25">
      <c r="A14" s="6">
        <v>13</v>
      </c>
      <c r="B14" t="s">
        <v>36</v>
      </c>
      <c r="C14" s="6" t="s">
        <v>35</v>
      </c>
      <c r="D14" s="6">
        <v>1</v>
      </c>
      <c r="E14" s="6">
        <v>4.3</v>
      </c>
      <c r="F14" s="6">
        <v>8</v>
      </c>
      <c r="G14" s="7">
        <f t="shared" si="0"/>
        <v>-4.7</v>
      </c>
      <c r="H14" s="6">
        <v>2</v>
      </c>
      <c r="I14" s="6">
        <v>3</v>
      </c>
      <c r="J14" s="6">
        <v>2</v>
      </c>
      <c r="K14" s="6">
        <v>1</v>
      </c>
      <c r="L14" s="8">
        <f t="shared" si="1"/>
        <v>8</v>
      </c>
      <c r="M14" s="6">
        <v>2</v>
      </c>
      <c r="N14" s="6">
        <v>3</v>
      </c>
      <c r="O14" s="6">
        <v>4</v>
      </c>
      <c r="P14" s="6">
        <v>3</v>
      </c>
      <c r="Q14" s="6">
        <v>1</v>
      </c>
      <c r="R14" s="6">
        <v>2</v>
      </c>
      <c r="S14" s="9">
        <f t="shared" si="2"/>
        <v>15</v>
      </c>
      <c r="T14" s="6">
        <v>2</v>
      </c>
      <c r="U14" s="6">
        <v>1</v>
      </c>
      <c r="V14" s="6">
        <v>2</v>
      </c>
      <c r="W14" s="6">
        <v>3</v>
      </c>
      <c r="X14" s="6">
        <v>1</v>
      </c>
      <c r="Y14" s="6">
        <v>-6</v>
      </c>
      <c r="Z14" s="10">
        <f t="shared" si="3"/>
        <v>3</v>
      </c>
      <c r="AA14" s="7">
        <f t="shared" si="4"/>
        <v>-4.7</v>
      </c>
      <c r="AB14" s="8">
        <f t="shared" si="5"/>
        <v>8</v>
      </c>
      <c r="AC14" s="9">
        <f t="shared" si="6"/>
        <v>15</v>
      </c>
      <c r="AD14" s="10">
        <f t="shared" si="7"/>
        <v>3</v>
      </c>
      <c r="AE14" s="11">
        <f t="shared" si="8"/>
        <v>21.3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Predmet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2026-05-29T04:54:21Z</dcterms:created>
  <dcterms:modified xsi:type="dcterms:W3CDTF">2026-06-02T10:38:16Z</dcterms:modified>
</cp:coreProperties>
</file>